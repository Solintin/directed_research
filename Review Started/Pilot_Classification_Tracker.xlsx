
<file path=[Content_Types].xml><?xml version="1.0" encoding="utf-8"?>
<Types xmlns="http://schemas.openxmlformats.org/package/2006/content-types">
  <Default Extension="fntdata" ContentType="application/x-fontdata"/>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xl/sharedStrings.xml" ContentType="application/vnd.openxmlformats-officedocument.spreadsheetml.sharedStrings+xml"/>
  <Override PartName="/xl/styles.xml" ContentType="application/vnd.openxmlformats-officedocument.spreadsheetml.styles+xml"/>
  <Override PartName="/xl/worksheets/sheet1.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6.xml" ContentType="application/vnd.openxmlformats-officedocument.spreadsheetml.worksheet+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fileVersion appName="Calc" lowestEdited="4"/>
  <workbookPr backupFile="false" showObjects="all" date1904="false"/>
  <workbookProtection/>
  <bookViews>
    <workbookView showHorizontalScroll="true" showVerticalScroll="true" showSheetTabs="true" xWindow="0" yWindow="0" windowWidth="16384" windowHeight="8192" tabRatio="500" firstSheet="0" activeTab="4"/>
  </bookViews>
  <sheets>
    <sheet name="Core 8-Component Selection" sheetId="1" state="visible" r:id="rId3"/>
    <sheet name="Instructions" sheetId="2" state="visible" r:id="rId4"/>
    <sheet name="Search Log" sheetId="3" state="visible" r:id="rId5"/>
    <sheet name="RMI Classification" sheetId="4" state="visible" r:id="rId6"/>
    <sheet name="Metrics" sheetId="5" state="visible" r:id="rId7"/>
    <sheet name="Master Corpus" sheetId="6" state="visible" r:id="rId8"/>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<sst xmlns="http://schemas.openxmlformats.org/spreadsheetml/2006/main" count="12520" uniqueCount="4213">
  <si>
    <t xml:space="preserve">CORE 101 — 8-Component Literature Selection (for Progress Report)</t>
  </si>
  <si>
    <t xml:space="preserve">Mapped from your Annotated Bibliography's 8 sections (Kinetic Models, Transport-Deposition, Inhibitor Modeling, ML-Tendency, ML-Thermodynamics, ML-Thickness, Similar Applications, Pipe Monitoring). Selected from the 411 title/abstract-included records by: R-tag priority, then Citation Velocity, then component-match confidence, quota-capped per component to land at ~90-100 total while preserving full 8-pillar coverage.</t>
  </si>
  <si>
    <t xml:space="preserve">Component</t>
  </si>
  <si>
    <t xml:space="preserve">Selected</t>
  </si>
  <si>
    <t xml:space="preserve">1. Kinetic Models</t>
  </si>
  <si>
    <t xml:space="preserve">2. Transport-Deposition Approaches</t>
  </si>
  <si>
    <t xml:space="preserve">3. Inhibitor Modeling</t>
  </si>
  <si>
    <t xml:space="preserve">4. ML - Scale Tendency</t>
  </si>
  <si>
    <t xml:space="preserve">5. ML - Scale Thermodynamics</t>
  </si>
  <si>
    <t xml:space="preserve">6. ML - Scale Thickness (Sensor-Based)</t>
  </si>
  <si>
    <t xml:space="preserve">7. Similar Applications (Adjacent Domains)</t>
  </si>
  <si>
    <t xml:space="preserve">8. Pipe Monitoring (Structural/Deposit Sensing)</t>
  </si>
  <si>
    <t xml:space="preserve">TOTAL</t>
  </si>
  <si>
    <t xml:space="preserve">Title</t>
  </si>
  <si>
    <t xml:space="preserve">Authors</t>
  </si>
  <si>
    <t xml:space="preserve">Year</t>
  </si>
  <si>
    <t xml:space="preserve">Venue</t>
  </si>
  <si>
    <t xml:space="preserve">DOI</t>
  </si>
  <si>
    <t xml:space="preserve">Tag</t>
  </si>
  <si>
    <t xml:space="preserve">Citations</t>
  </si>
  <si>
    <t xml:space="preserve">Cit. Velocity</t>
  </si>
  <si>
    <t xml:space="preserve">A review of iron carbonate (FeCO3) formation in the oil and gas industry</t>
  </si>
  <si>
    <t xml:space="preserve">Barker, R; Burkle, D; Charpentier, T; Thompson, H; Neville, A</t>
  </si>
  <si>
    <t xml:space="preserve">CORROSION SCIENCE</t>
  </si>
  <si>
    <t xml:space="preserve">10.1016/j.corsci.2018.07.021</t>
  </si>
  <si>
    <t xml:space="preserve">R</t>
  </si>
  <si>
    <t xml:space="preserve">Examining the factors that impact the formation of barite scale in water injection operations: experimental study and quantification of scale formation</t>
  </si>
  <si>
    <t xml:space="preserve">Hussein M.F.; Mubarak M.F.; Al-Sirhani A.M.; Hosny R.</t>
  </si>
  <si>
    <t xml:space="preserve">Discover Applied Sciences</t>
  </si>
  <si>
    <t xml:space="preserve">10.1007/s42452-024-06176-7</t>
  </si>
  <si>
    <t xml:space="preserve">Surface inorganic scale formation in oil and gas industry: As adhesion and deposition processes</t>
  </si>
  <si>
    <t xml:space="preserve">Vazirian M.M.; Charpentier T.V.J.; de Oliveira Penna M.; Neville A.</t>
  </si>
  <si>
    <t xml:space="preserve">Journal of Petroleum Science and Engineering</t>
  </si>
  <si>
    <t xml:space="preserve">10.1016/j.petrol.2015.11.005</t>
  </si>
  <si>
    <t xml:space="preserve">The early stages of FeCO3 scale formation kinetics in CO2 corrosion</t>
  </si>
  <si>
    <t xml:space="preserve">De Motte R.A.; Barker R.; Burkle D.; Vargas S.M.; Neville A.</t>
  </si>
  <si>
    <t xml:space="preserve">Materials Chemistry and Physics</t>
  </si>
  <si>
    <t xml:space="preserve">10.1016/j.matchemphys.2018.04.077</t>
  </si>
  <si>
    <t xml:space="preserve">In situ SR-XRD study of FeCO3 precipitation kinetics onto carbon steel in CO2-containing environments: The influence of brine pH</t>
  </si>
  <si>
    <t xml:space="preserve">Burkle, D; De Motte, R; Taleb, W; Kleppe, A; Comyn, T; Vargas, SM; Neville, A; Barker, R</t>
  </si>
  <si>
    <t xml:space="preserve">ELECTROCHIMICA ACTA</t>
  </si>
  <si>
    <t xml:space="preserve">10.1016/j.electacta.2017.09.138</t>
  </si>
  <si>
    <t xml:space="preserve">Experimental and modelling approach to investigate the mechanisms of formation damage due to calcium carbonate precipitation in carbonate reservoirs</t>
  </si>
  <si>
    <t xml:space="preserve">Qazvini S.; Golkari A.; Azdarpour A.; Santos R.M.; Safavi M.S.; Norouzpour M.</t>
  </si>
  <si>
    <t xml:space="preserve">10.1016/j.petrol.2021.108801</t>
  </si>
  <si>
    <t xml:space="preserve">Kinetics study of barium sulphate surface scaling and inhibition with a once-through flow system</t>
  </si>
  <si>
    <t xml:space="preserve">Bukuaghangin O.; Sanni O.; Kapur N.; Huggan M.; Neville A.; Charpentier T.</t>
  </si>
  <si>
    <t xml:space="preserve">10.1016/j.petrol.2016.09.035</t>
  </si>
  <si>
    <t xml:space="preserve">Preparation and Performance Study of Microemulsion Acid for Comprehensive Plugging Removal in Carbonate Reservoir</t>
  </si>
  <si>
    <t xml:space="preserve">Wang Y.; Zhou F.; Zou Y.; Wang Z.; Wang Y.</t>
  </si>
  <si>
    <t xml:space="preserve">Molecules</t>
  </si>
  <si>
    <t xml:space="preserve">10.3390/molecules28145606</t>
  </si>
  <si>
    <t xml:space="preserve">Fast evaluation of inhibitors for calcium carbonate scale based on pH continuous measurements in jar test at high salinity condition</t>
  </si>
  <si>
    <t xml:space="preserve">Sousa, MFB; Signorelli, F; Bertran, CA</t>
  </si>
  <si>
    <t xml:space="preserve">JOURNAL OF PETROLEUM SCIENCE AND ENGINEERING</t>
  </si>
  <si>
    <t xml:space="preserve">10.1016/j.petrol.2016.09.007</t>
  </si>
  <si>
    <t xml:space="preserve">A comprehensive study of impact of solid particles on scaling formation and inhibition in oilfield water</t>
  </si>
  <si>
    <t xml:space="preserve">Zhang H.; Dong M.; Ni J.; Li B.; Mao H.; Chen G.; Tang Y.</t>
  </si>
  <si>
    <t xml:space="preserve">Desalination and Water Treatment</t>
  </si>
  <si>
    <t xml:space="preserve">10.1016/j.dwt.2025.101331</t>
  </si>
  <si>
    <t xml:space="preserve">Real-time monitoring of electrochemically induced calcium carbonate depositions: Kinetics and mechanisms</t>
  </si>
  <si>
    <t xml:space="preserve">Liu Z.; Onay H.; Guo F.; Lv Q.; Sudhölter E.J.R.</t>
  </si>
  <si>
    <t xml:space="preserve">Electrochimica Acta</t>
  </si>
  <si>
    <t xml:space="preserve">10.1016/j.electacta.2021.137719</t>
  </si>
  <si>
    <t xml:space="preserve">Kinetics of Barium Sulfate Deposition and Crystallization Process in the Flowing Tube</t>
  </si>
  <si>
    <t xml:space="preserve">Lu A.Y.-T.; Harouaka K.; Paudyal S.; Ko S.; Dai C.; Gao S.; Deng G.; Zhao Y.; Wang X.; Mateen S.; Kan A.T.; Tomson M.</t>
  </si>
  <si>
    <t xml:space="preserve">Industrial and Engineering Chemistry Research</t>
  </si>
  <si>
    <t xml:space="preserve">10.1021/acs.iecr.0c00112</t>
  </si>
  <si>
    <t xml:space="preserve">Study on the effect of particles in oilfield produced water on the deposition process of CaCO3</t>
  </si>
  <si>
    <t xml:space="preserve">Dong, MY; Liu, GB; Ji, WY; Bai, YX; Xia, YC; Pan, YS; Jia, XG; Wei, HL; Chen, G; Ying, T</t>
  </si>
  <si>
    <t xml:space="preserve">DESALINATION AND WATER TREATMENT</t>
  </si>
  <si>
    <t xml:space="preserve">10.1016/j.dwt.2024.100706</t>
  </si>
  <si>
    <t xml:space="preserve">Experimental investigation of the effect of silica nanoparticles on the kinetics of barium sulfate scaling during water injection process</t>
  </si>
  <si>
    <t xml:space="preserve">Manzari Tavakoli H.; Jamialahmadi M.; Kord S.; Daryasafar A.</t>
  </si>
  <si>
    <t xml:space="preserve">10.1016/j.petrol.2018.05.077</t>
  </si>
  <si>
    <t xml:space="preserve">Nucleation and Crystallization Kinetics of Barium Sulfate in the Hydrodynamic Boundary Layer: An Explanation of Mineral Deposition</t>
  </si>
  <si>
    <t xml:space="preserve">Yi-Tsung Lu A.; Kan A.T.; Tomson M.B.</t>
  </si>
  <si>
    <t xml:space="preserve">Crystal Growth and Design</t>
  </si>
  <si>
    <t xml:space="preserve">10.1021/acs.cgd.0c01027</t>
  </si>
  <si>
    <t xml:space="preserve">Deposition of Inorganic Carbonate, Sulfate, and Sulfide Scales on Antifouling Surfaces in Multiphase Flow</t>
  </si>
  <si>
    <t xml:space="preserve">Keogh W.; Neville A.; Huggan M.; Eroini V.; Olsen J.H.; Nielsen F.Mø.; Baraka-Lokmane S.; Bourdelet E.; Ellingsen J.A.; Bache O.; Charpentier T.</t>
  </si>
  <si>
    <t xml:space="preserve">Energy and Fuels</t>
  </si>
  <si>
    <t xml:space="preserve">10.1021/acs.energyfuels.7b02165</t>
  </si>
  <si>
    <t xml:space="preserve">A reactive transport approach for modeling scale formation and deposition in water injection wells</t>
  </si>
  <si>
    <t xml:space="preserve">Shabani A.; Sisakhti H.; Sheikhi S.; Barzegar F.</t>
  </si>
  <si>
    <t xml:space="preserve">10.1016/j.petrol.2020.107031</t>
  </si>
  <si>
    <t xml:space="preserve">Barite scale formation and inhibition in laminar and turbulent flow: A rotating cylinder approach</t>
  </si>
  <si>
    <t xml:space="preserve">Yan F.; Dai Z.; Ruan G.; Alsaiari H.; Bhandari N.; Zhang F.; Liu Y.; Zhang Z.; Kan A.; Tomson M.</t>
  </si>
  <si>
    <t xml:space="preserve">10.1016/j.petrol.2016.10.030</t>
  </si>
  <si>
    <t xml:space="preserve">Controls on Barite (BaSO4) Precipitation in Unconventional Reservoirs</t>
  </si>
  <si>
    <t xml:space="preserve">Esteves, BF; Druhan, JL; Jew, AD</t>
  </si>
  <si>
    <t xml:space="preserve">ENVIRONMENTAL SCIENCE &amp; TECHNOLOGY</t>
  </si>
  <si>
    <t xml:space="preserve">10.1021/acs.est.3c02923</t>
  </si>
  <si>
    <t xml:space="preserve">Global Sensitivity Analysis of a Reactive Transport Model for Mineral Scale Formation During Hydraulic Fracturing</t>
  </si>
  <si>
    <t xml:space="preserve">Li, QY; Wang, LJ; Perzan, Z; Caers, J; Brown, GE Jr; Bargar, JR; Maher, K</t>
  </si>
  <si>
    <t xml:space="preserve">ENVIRONMENTAL ENGINEERING SCIENCE</t>
  </si>
  <si>
    <t xml:space="preserve">10.1089/ees.2020.0365</t>
  </si>
  <si>
    <t xml:space="preserve">A new coupled model for permeability-impairment prediction because of mineral scale deposition in water-injection wells</t>
  </si>
  <si>
    <t xml:space="preserve">Shajari M.; Rashidi F.</t>
  </si>
  <si>
    <t xml:space="preserve">SPE Reservoir Evaluation and Engineering</t>
  </si>
  <si>
    <t xml:space="preserve">10.2118/202476-PA</t>
  </si>
  <si>
    <t xml:space="preserve">Scale formation and control under turbulent conditions</t>
  </si>
  <si>
    <t xml:space="preserve">Yan F.; Bhandari N.; Zhang F.; Ruan G.; Dai Z.; Liu Y.; Zhang Z.; Alsaiari H.; Kan A.; Tomson M.</t>
  </si>
  <si>
    <t xml:space="preserve">Society of Petroleum Engineers - SPE International Oilfield Scale Conference and Exhibition</t>
  </si>
  <si>
    <t xml:space="preserve">10.2118/179863-ms</t>
  </si>
  <si>
    <t xml:space="preserve">The effect of turbulence on mineral scale control in oilfield</t>
  </si>
  <si>
    <t xml:space="preserve">Yan F.; Zhang F.; Bhandari N.; Ruan G.; Alsaiari H.; Dai Z.; Liu Y.; Zhang Z.; Lu Y.-T.; Deng G.; Kan A.; Tomson M.</t>
  </si>
  <si>
    <t xml:space="preserve">Proceedings - SPE International Symposium on Oilfield Chemistry</t>
  </si>
  <si>
    <t xml:space="preserve">10.2118/184524-ms</t>
  </si>
  <si>
    <t xml:space="preserve">Novel Mineral Scale Deposition Model Under Different Flow Conditions with or Without Scale Inhibitors</t>
  </si>
  <si>
    <t xml:space="preserve">Dai Z.J.; Kan A.; Lu Y.-T.A.; Leschied C.; Zhao Y.; Dai C.; Wang X.; Paudyal S.; Ko S.; Tomson M.</t>
  </si>
  <si>
    <t xml:space="preserve">10.2118/SPE-204373-MS</t>
  </si>
  <si>
    <t xml:space="preserve">Implication of Turbulent Flow Induced by Gas Lift on Strontium Sulphate Scale Formation and Control Within Production Tubing</t>
  </si>
  <si>
    <t xml:space="preserve">Fyfe A.; Nichols D.; Jordan M.</t>
  </si>
  <si>
    <t xml:space="preserve">10.2118/204342-MS</t>
  </si>
  <si>
    <t xml:space="preserve">On the hydrodynamic aspects of the carbonate scale formation process in high flow rate wells</t>
  </si>
  <si>
    <t xml:space="preserve">Maciel R.S.; Cosmo R.P.; Maciel F.S.; Pereira F.A.R.; Ribeiro D.C.; Aldeia S.W.; Martins A.L.</t>
  </si>
  <si>
    <t xml:space="preserve">OTC Brasil 2017</t>
  </si>
  <si>
    <t xml:space="preserve">10.4043/28106-ms</t>
  </si>
  <si>
    <t xml:space="preserve">Modelling CaCO3 scale in CO2 water alternating gas CO2-WAG processes</t>
  </si>
  <si>
    <t xml:space="preserve">Silva D.; Sorbie K.S.; Mackay E.J.</t>
  </si>
  <si>
    <t xml:space="preserve">Methodology to Evaluate Calcite Scale Inhibitors Under Turbulent Flow for Subsea Oilfield Production Applications</t>
  </si>
  <si>
    <t xml:space="preserve">Pimentel D.; Kan A.; Ye Y.; Wang X.; Reiss A.; Deng G.; Shen Y.-Y.; Leschied C.; Yao T.; Tomson M.</t>
  </si>
  <si>
    <t xml:space="preserve">Society of Petroleum Engineers - SPE Oilfield Scale Symposium, OSS 2024</t>
  </si>
  <si>
    <t xml:space="preserve">10.2118/218736-MS</t>
  </si>
  <si>
    <t xml:space="preserve">Strategic Scale Mitigation for Oil Wells with a Low Basic Sediment and Water</t>
  </si>
  <si>
    <t xml:space="preserve">Benkhaled M.; Tort F.; Baraka-Lokmane S.; Fretard D.; Lesage N.</t>
  </si>
  <si>
    <t xml:space="preserve">10.2118/218702-MS</t>
  </si>
  <si>
    <t xml:space="preserve">Comprehensive Modeling of Scale Deposition by Use of a Coupled Geochemical and Compositional Wellbore Simulator</t>
  </si>
  <si>
    <t xml:space="preserve">Ali Abouie; Aboulghasem Kazemi Korrani; Mahdy Shirdel; Kamy Sepehrnoori</t>
  </si>
  <si>
    <t xml:space="preserve">SPE Journal</t>
  </si>
  <si>
    <t xml:space="preserve">10.2118/185942-pa</t>
  </si>
  <si>
    <t xml:space="preserve">Mineral Reactions in Shale Gas Reservoirs: Barite Scale Formation from Reusing Produced Water As Hydraulic Fracturing Fluid</t>
  </si>
  <si>
    <t xml:space="preserve">Paukert Vankeuren A.N.; Hakala J.A.; Jarvis K.; Moore J.E.</t>
  </si>
  <si>
    <t xml:space="preserve">Environmental Science and Technology</t>
  </si>
  <si>
    <t xml:space="preserve">10.1021/acs.est.7b01979</t>
  </si>
  <si>
    <t xml:space="preserve">Performance evaluation of hybrid polymer-phosphonate scale inhibitors in oilfield water flooding operations</t>
  </si>
  <si>
    <t xml:space="preserve">Khormali A.; Ahmadi S.; Kazemzadeh Y.</t>
  </si>
  <si>
    <t xml:space="preserve">Petroleum Research</t>
  </si>
  <si>
    <t xml:space="preserve">10.1016/j.ptlrs.2026.01.014</t>
  </si>
  <si>
    <t xml:space="preserve">Environmentally Friendly Phosphonated Polyetheramine Scale Inhibitors - Excellent Calcium Compatibility for Oilfield Applications</t>
  </si>
  <si>
    <t xml:space="preserve">Mady M.F.; Bayat P.; Kelland M.A.</t>
  </si>
  <si>
    <t xml:space="preserve">10.1021/acs.iecr.0c01636</t>
  </si>
  <si>
    <t xml:space="preserve">Anti-corrosion, antiscalant and anti-microbial performance of some synthesized trimeric cationic imidazolium salts in oilfield applications</t>
  </si>
  <si>
    <t xml:space="preserve">Shaban M.M.; Negm N.A.; Farag R.K.; Fadda A.A.; Gomaa A.E.; Farag A.A.; Migahed M.A.</t>
  </si>
  <si>
    <t xml:space="preserve">Journal of Molecular Liquids</t>
  </si>
  <si>
    <t xml:space="preserve">10.1016/j.molliq.2022.118610</t>
  </si>
  <si>
    <t xml:space="preserve">Evaluation of different polymeric scale inhibitors for oilfield application</t>
  </si>
  <si>
    <t xml:space="preserve">Bisatto R.; Picoli V.M.; Petzhold C.L.</t>
  </si>
  <si>
    <t xml:space="preserve">10.1016/j.petrol.2022.110331</t>
  </si>
  <si>
    <t xml:space="preserve">Increasing efficiency of calcium sulfate scale prevention using a new mixture of phosphonate scale inhibitors during waterflooding</t>
  </si>
  <si>
    <t xml:space="preserve">Khormali A.; Sharifov A.R.; Torba D.I.</t>
  </si>
  <si>
    <t xml:space="preserve">10.1016/j.petrol.2018.01.055</t>
  </si>
  <si>
    <t xml:space="preserve">Prediction of barium sulfate precipitation in dynamic tube blocking tests and its inhibition for waterflooding application using response surface methodology</t>
  </si>
  <si>
    <t xml:space="preserve">Khormali A.; Ahmadi S.</t>
  </si>
  <si>
    <t xml:space="preserve">Journal of Petroleum Exploration and Production Technology</t>
  </si>
  <si>
    <t xml:space="preserve">10.1007/s13202-023-01679-2</t>
  </si>
  <si>
    <t xml:space="preserve">A review: the utilization potency of biopolymer as an eco-friendly scale inhibitors</t>
  </si>
  <si>
    <t xml:space="preserve">Husna, UZ; Elraies, KA; Shuhili, JABM; Elryes, AA</t>
  </si>
  <si>
    <t xml:space="preserve">JOURNAL OF PETROLEUM EXPLORATION AND PRODUCTION TECHNOLOGY</t>
  </si>
  <si>
    <t xml:space="preserve">10.1007/s13202-021-01370-4</t>
  </si>
  <si>
    <t xml:space="preserve">Increasing inhibition performance of simultaneous precipitation of calcium and strontium sulfate scales using a new inhibitor — Laboratory and field application</t>
  </si>
  <si>
    <t xml:space="preserve">Khormali A.; Bahlakeh G.; Struchkov I.; Kazemzadeh Y.</t>
  </si>
  <si>
    <t xml:space="preserve">10.1016/j.petrol.2021.108589</t>
  </si>
  <si>
    <t xml:space="preserve">Sustainable Calcite Scale Inhibitors via Oxidation of Lignosulfonates</t>
  </si>
  <si>
    <t xml:space="preserve">Ganguly S.; Kelland M.A.; Ellis R.J.; Andresen M.; Subramanian S.; Theodossiou A.</t>
  </si>
  <si>
    <t xml:space="preserve">ACS Omega</t>
  </si>
  <si>
    <t xml:space="preserve">10.1021/acsomega.4c02716</t>
  </si>
  <si>
    <t xml:space="preserve">Laboratory study on efficiency of three calcium carbonate scale inhibitors in the presence of EOR chemicals</t>
  </si>
  <si>
    <t xml:space="preserve">Wang Q.; Liang F.; Al-Nasser W.; Al-Dawood F.; Al-Shafai T.; Al-Badairy H.; Shen S.; Al-Ajwad H.</t>
  </si>
  <si>
    <t xml:space="preserve">Petroleum</t>
  </si>
  <si>
    <t xml:space="preserve">10.1016/j.petlm.2018.03.003</t>
  </si>
  <si>
    <t xml:space="preserve">Evaluation of β-cyclodextrin-polyethylene glycol as green scale inhibitors for produced-water in shale gas well</t>
  </si>
  <si>
    <t xml:space="preserve">Liu Y.; Zou C.; Li C.; Lin L.; Chen W.</t>
  </si>
  <si>
    <t xml:space="preserve">Desalination</t>
  </si>
  <si>
    <t xml:space="preserve">10.1016/j.desal.2015.09.007</t>
  </si>
  <si>
    <t xml:space="preserve">Experimental analysis of calcium carbonate scale formation and inhibition in waterflooding of carbonate reservoirs</t>
  </si>
  <si>
    <t xml:space="preserve">Khormali A.; Petrakov D.G.; Afshari Moein M.J.</t>
  </si>
  <si>
    <t xml:space="preserve">10.1016/j.petrol.2016.09.048</t>
  </si>
  <si>
    <t xml:space="preserve">Effect of Sulfate-Based Scales on Calcite Mineral Surface Chemistry: Insights from Zeta-Potential Experiments and Their Implications on Wettability</t>
  </si>
  <si>
    <t xml:space="preserve">Mohammed I.; Isah A.; Al Shehri D.; Mahmoud M.; Arif M.; Kamal M.S.; Alade O.S.; Patil S.</t>
  </si>
  <si>
    <t xml:space="preserve">10.1021/acsomega.2c03403</t>
  </si>
  <si>
    <t xml:space="preserve">Investigation of the Antiscaling Performance of Phosphonated Chitosan for Upstream Petroleum Industry Application</t>
  </si>
  <si>
    <t xml:space="preserve">Mady M.F.; Abdel-Azeim S.; Kelland M.A.</t>
  </si>
  <si>
    <t xml:space="preserve">ACS Sustainable Chemistry and Engineering</t>
  </si>
  <si>
    <t xml:space="preserve">10.1021/acssuschemeng.1c06786</t>
  </si>
  <si>
    <t xml:space="preserve">Some misconceptions about scale inhibition mechanisms: A review</t>
  </si>
  <si>
    <t xml:space="preserve">Popov, K; Oshchepkov, A; Oshchepkov, M; Ryabova, A; Trukhina, M; Tkachenko, S</t>
  </si>
  <si>
    <t xml:space="preserve">DESALINATION</t>
  </si>
  <si>
    <t xml:space="preserve">10.1016/j.desal.2026.120221</t>
  </si>
  <si>
    <t xml:space="preserve">Innovative dual-functional, green and biodegradable dicarboxylated inulin as scale and corrosion inhibitors for sustainable oil and gas operations</t>
  </si>
  <si>
    <t xml:space="preserve">Ganie S.A.; Baig M.T.; Mady M.F.</t>
  </si>
  <si>
    <t xml:space="preserve">Carbohydrate Polymers</t>
  </si>
  <si>
    <t xml:space="preserve">10.1016/j.carbpol.2025.124022</t>
  </si>
  <si>
    <t xml:space="preserve">Phosphonated Polyetheramine-Coated Superparamagnetic Iron Oxide Nanoparticles: Study on the Harsh Scale Inhibition Performance of Calcium Carbonate and Barium Sulfate</t>
  </si>
  <si>
    <t xml:space="preserve">Karaly A.H.; Kelland M.A.; Mady M.F.</t>
  </si>
  <si>
    <t xml:space="preserve">10.1021/acsomega.4c07018</t>
  </si>
  <si>
    <t xml:space="preserve">Abatement of scale precipitation in oilfields using green scale inhibitors</t>
  </si>
  <si>
    <t xml:space="preserve">Mahmoodi L.; Malayeri M.R.; Farshchi Tabrizi F.</t>
  </si>
  <si>
    <t xml:space="preserve">10.1016/j.petrol.2021.109237</t>
  </si>
  <si>
    <t xml:space="preserve">Antiscaling Evaluation and Quantum Chemical Studies of Nitrogen-Free Organophosphorus Compounds for Oilfield Scale Management</t>
  </si>
  <si>
    <t xml:space="preserve">10.1021/acs.iecr.1c02441</t>
  </si>
  <si>
    <t xml:space="preserve">Chemical solutions for restoring scaling-induced injectivity impairment in offshore produced water re-injection</t>
  </si>
  <si>
    <t xml:space="preserve">Kermani, Hamed M; Bonto, María; Nick, Hamidreza M</t>
  </si>
  <si>
    <t xml:space="preserve">The Science of the total environment</t>
  </si>
  <si>
    <t xml:space="preserve">10.1016/j.scitotenv.2023.166597</t>
  </si>
  <si>
    <t xml:space="preserve">Polysaccharides as Effective and Environmentally Friendly Inhibitors of Scale Deposition from Aqueous Solutions in Technological Processes</t>
  </si>
  <si>
    <t xml:space="preserve">Fakhreeva, Alsu Venerovna; Nosov, Vasily Viktorovich; Voloshin, Alexander Iosifovich; Dokichev, Vladimir Anatolyevich</t>
  </si>
  <si>
    <t xml:space="preserve">Polymers</t>
  </si>
  <si>
    <t xml:space="preserve">10.3390/polym15061478</t>
  </si>
  <si>
    <t xml:space="preserve">Analysis of reservoir rock permeability changes due to solid precipitation during waterflooding using artificial neural network</t>
  </si>
  <si>
    <t xml:space="preserve">Khormali, A; Ahmadi, S; Aleksandrov, AN</t>
  </si>
  <si>
    <t xml:space="preserve">10.1007/s13202-024-01898-1</t>
  </si>
  <si>
    <t xml:space="preserve">Predicting scale deposition in oil reservoirs using machine learning optimization algorithms</t>
  </si>
  <si>
    <t xml:space="preserve">Khodabakhshi M.J.; Bijani M.</t>
  </si>
  <si>
    <t xml:space="preserve">Results in Engineering</t>
  </si>
  <si>
    <t xml:space="preserve">10.1016/j.rineng.2024.102263</t>
  </si>
  <si>
    <t xml:space="preserve">Prediction of barite scale formation and inhibition in hydrocarbon reservoirs using AI modeling: Focus on different optimization algorithms</t>
  </si>
  <si>
    <t xml:space="preserve">Belkacem O.; Rezrazi A.; Aizi K.; Abdelouahed L.; Laidi M.; Touil A.; Cherifi L.; Hanini S.</t>
  </si>
  <si>
    <t xml:space="preserve">10.1016/j.rineng.2025.105222</t>
  </si>
  <si>
    <t xml:space="preserve">Evaluating scale deposition and scale tendency of effluent water mix with seawater for compatible injection water</t>
  </si>
  <si>
    <t xml:space="preserve">Al-Samhan M.; Alanezi K.; Al-Fadhli J.; Al-Attar F.; Mukadam S.; George J.</t>
  </si>
  <si>
    <t xml:space="preserve">10.1007/s13202-020-00849-w</t>
  </si>
  <si>
    <t xml:space="preserve">Investigation of high temperature, high pressure, scaling and dissolution effects for Carbon Capture and Storage at a high CO2 content carbonate gas field offshore Malaysia</t>
  </si>
  <si>
    <t xml:space="preserve">Sazali, YA; Sazali, WML; Ibrahim, JM; Dindi, M; Graham, G; Gödeke, S</t>
  </si>
  <si>
    <t xml:space="preserve">10.1016/j.petrol.2018.11.060</t>
  </si>
  <si>
    <t xml:space="preserve">Development of Artificial Neural Network Models for the Simulation of a CaCO3 Scale Formation Process in the Presence of Monoethylene Glycol (MEG) in Dynamic Tube Blocking Test Equipment</t>
  </si>
  <si>
    <t xml:space="preserve">Ferreira B.X.; Barbosa C.R.H.; Cajaiba J.; Kartnaller V.; Santos B.F.</t>
  </si>
  <si>
    <t xml:space="preserve">10.1021/acs.energyfuels.1c03364</t>
  </si>
  <si>
    <t xml:space="preserve">Prediction of Scale Precipitation by Modelling its Thermodynamic Properties using Machine Learning Engineering</t>
  </si>
  <si>
    <t xml:space="preserve">Ugoyah J.C.; Ajienka J.A.; Wachikwu-Elechi V.U.; Ikiensikimama S.S.</t>
  </si>
  <si>
    <t xml:space="preserve">Society of Petroleum Engineers - SPE Nigeria Annual International Conference and Exhibition, NAIC 2022</t>
  </si>
  <si>
    <t xml:space="preserve">10.2118/212010-MS</t>
  </si>
  <si>
    <t xml:space="preserve">Development of machine learning models for predicting the deposition of sulfide scales in oil production wells</t>
  </si>
  <si>
    <t xml:space="preserve">Askar M.M.; Ela M.A.E.; El-Banbi A.H.; Sayyouh M.H.M.</t>
  </si>
  <si>
    <t xml:space="preserve">Journal of King Saud University - Engineering Sciences</t>
  </si>
  <si>
    <t xml:space="preserve">10.1007/s44444-025-00045-3</t>
  </si>
  <si>
    <t xml:space="preserve">Predicting Scale Depositions of Barium and Strontium Sulfates Using Novel Artificial Neural Network Algorithms</t>
  </si>
  <si>
    <t xml:space="preserve">Askar M.M.; El Ela M.A.; El-Banbi A.H.; Sayyouh M.H.M.</t>
  </si>
  <si>
    <t xml:space="preserve">Society of Petroleum Engineers - ADIPEC 2024</t>
  </si>
  <si>
    <t xml:space="preserve">10.2118/222123-MS</t>
  </si>
  <si>
    <t xml:space="preserve">Computational Screening of Potential Inhibitors of Desulfobacter postgatei for Pyrite Scale Prevention in Oil and Gas Wells</t>
  </si>
  <si>
    <t xml:space="preserve">Onawole A.T.; Hussein I.A.; Saad M.A.; Ahmed M.E.M.; Nimir H.</t>
  </si>
  <si>
    <t xml:space="preserve">10.1021/acsomega.0c06078</t>
  </si>
  <si>
    <t xml:space="preserve">PHREEQC-Informed Machine Learning for Predicting Scaling Indices in Permian Basin Produced Waters</t>
  </si>
  <si>
    <t xml:space="preserve">Molina C.; Torrijos I.D.P.; Gibreel M.H.</t>
  </si>
  <si>
    <t xml:space="preserve">Society of Petroleum Engineers - SPE/AAPG/SEG Unconventional Resources Technology Conference, URTC 2025</t>
  </si>
  <si>
    <t xml:space="preserve">10.15530/urtec-2025-4265270</t>
  </si>
  <si>
    <t xml:space="preserve">Prediction of Permeability Impairment Due to Scale Deposition in Waterflooding Using Machine Learning Algorithm</t>
  </si>
  <si>
    <t xml:space="preserve">Alayande S.B.; Alawode A.J.</t>
  </si>
  <si>
    <t xml:space="preserve">Society of Petroleum Engineers - SPE Nigeria Annual International Conference and Exhibition, NAIC 2025</t>
  </si>
  <si>
    <t xml:space="preserve">10.2118/228768-MS</t>
  </si>
  <si>
    <t xml:space="preserve">Integrated analysis approach of water and solids for root cause of injectivity decline of water injection well – A case study</t>
  </si>
  <si>
    <t xml:space="preserve">Pal O.R.; Al-Ghamdi N.S.</t>
  </si>
  <si>
    <t xml:space="preserve">Geoenergy Science and Engineering</t>
  </si>
  <si>
    <t xml:space="preserve">10.1016/j.geoen.2023.212351</t>
  </si>
  <si>
    <t xml:space="preserve">Scale Build-Up Prediction of FeS and FeCO3 in Gas Production Pipes</t>
  </si>
  <si>
    <t xml:space="preserve">Santoso, RK; Rahmawati, SD; Gadesa, A; Wahyuningrum, D</t>
  </si>
  <si>
    <t xml:space="preserve">INTERNATIONAL CONFERENCE ON ENERGY SCIENCES (ICES 2016)</t>
  </si>
  <si>
    <t xml:space="preserve">10.1088/1742-6596/877/1/012029</t>
  </si>
  <si>
    <t xml:space="preserve">Advances in understanding the scaling potential for thermal wells: A mechanistic study</t>
  </si>
  <si>
    <t xml:space="preserve">Habibi A.; Fensky C.; Roostaei M.; Mahmoudi M.; Fattahpour V.; Zeng H.; Sadrzadeh M.</t>
  </si>
  <si>
    <t xml:space="preserve">Society of Petroleum Engineers - SPE Canada Heavy Oil Conference 2020, CHOC 2020</t>
  </si>
  <si>
    <t xml:space="preserve">Effect of salinity and ion type on formation damage due to inorganic scale deposition and introducing optimum salinity</t>
  </si>
  <si>
    <t xml:space="preserve">Ghasemian J.; Riahi S.; Ayatollahi S.; Mokhtari R.</t>
  </si>
  <si>
    <t xml:space="preserve">10.1016/j.petrol.2019.02.019</t>
  </si>
  <si>
    <t xml:space="preserve">Iron sulfide scale management in High-H2S and -CO2 carbonate reservoirs</t>
  </si>
  <si>
    <t xml:space="preserve">Verri G.; Sorbie K.S.; Singleton M.A.; Hinrichsen C.; Wang Q.; Chang F.F.; Ramachandran S.</t>
  </si>
  <si>
    <t xml:space="preserve">SPE Production and Operations</t>
  </si>
  <si>
    <t xml:space="preserve">10.2118/179871-pa</t>
  </si>
  <si>
    <t xml:space="preserve">Coupling Well Log Data with Chemical Thermodynamic Modeling for Predicting Mineral Precipitation Along the Wellbore Depth Profile</t>
  </si>
  <si>
    <t xml:space="preserve">Tuhami M.; Al-Saleem H.; Alshammari S.; Rafie M.; Alsaud M.A.</t>
  </si>
  <si>
    <t xml:space="preserve">Society of Petroleum Engineers - SPE Advances in Integrated Reservoir Modelling and Field Development Conference and Exhibition, RCSC 2025</t>
  </si>
  <si>
    <t xml:space="preserve">10.2118/225407-MS</t>
  </si>
  <si>
    <t xml:space="preserve">Advanced Scale Removal in a Non-Injective Well Using Custom Jetting Tools and Chelating Chemistry</t>
  </si>
  <si>
    <t xml:space="preserve">Mohamed M.A.A.; Al Bloushi M.A.; Albloushi M.J.; Al Janahi M.I.; Alali M.H.; Mohamed M.E.; Alqaydi S.; Sidharth P.; Varshney M.; Grutters M.; Maheshwari Y.K.; Akhtar M.M.; Ahmad B.; Halverson S.; Ramy C.</t>
  </si>
  <si>
    <t xml:space="preserve">Society of Petroleum Engineers - ADIPEC 2025</t>
  </si>
  <si>
    <t xml:space="preserve">10.2118/230084-MS</t>
  </si>
  <si>
    <t xml:space="preserve">Comprehensive thermodynamic modeling of saline water with electrolyte NRTL model: A study on aqueous Ba2+-Na+-Cl--Sa42- quaternary system</t>
  </si>
  <si>
    <t xml:space="preserve">Honarparvar, S; Saravi, SH; Reible, D; Chen, CC</t>
  </si>
  <si>
    <t xml:space="preserve">FLUID PHASE EQUILIBRIA</t>
  </si>
  <si>
    <t xml:space="preserve">10.1016/j.fluid.2017.05.016</t>
  </si>
  <si>
    <t xml:space="preserve">Minimizing the Barite Scale in Carbonate Formations during the Filter Cake Removal Process</t>
  </si>
  <si>
    <t xml:space="preserve">Al Jaberi, J; Ahmed, A; Bageri, B; Elsayed, M; Mahmoud, M; Patil, S; Al-Garadi, K; Barri, A</t>
  </si>
  <si>
    <t xml:space="preserve">ACS OMEGA</t>
  </si>
  <si>
    <t xml:space="preserve">10.1021/acsomega.2c01339</t>
  </si>
  <si>
    <t xml:space="preserve">Chelating Chemicals: A Solution to End the Battle with Calcium Sulfate Scale</t>
  </si>
  <si>
    <t xml:space="preserve">Alotaibi F.; Almubarak T.; Alhamad L.; Al Moajil A.</t>
  </si>
  <si>
    <t xml:space="preserve">SPE Middle East Oil and Gas Show and Conference, MEOS, Proceedings</t>
  </si>
  <si>
    <t xml:space="preserve">10.2118/213502-MS</t>
  </si>
  <si>
    <t xml:space="preserve">Impact of High Calcium Concentrations on Barite Scale Prediction Under High Temperature and High Pressure Conditions</t>
  </si>
  <si>
    <t xml:space="preserve">Shen Y.-Y.; Deng G.; Wang X.; Ye Y.; Reiss A.; Yao X.; Pimentel D.; Leschied C.; Kan A.T.; Tomson M.B.</t>
  </si>
  <si>
    <t xml:space="preserve">10.2118/218707-MS</t>
  </si>
  <si>
    <t xml:space="preserve">Iron sulphide scale management in high H2S and CO2 carbonate reservoirs</t>
  </si>
  <si>
    <t xml:space="preserve">Numerical Simulation of Scale Formation for Injection-Production Units in Oil Reservoirs</t>
  </si>
  <si>
    <t xml:space="preserve">Li, NY; Kang, J; Zhang, HT; Tao, WD; Ren, Y</t>
  </si>
  <si>
    <t xml:space="preserve">ARABIAN JOURNAL FOR SCIENCE AND ENGINEERING</t>
  </si>
  <si>
    <t xml:space="preserve">10.1007/s13369-019-03975-8</t>
  </si>
  <si>
    <t xml:space="preserve">Mineral solubility measurement and prediction under high pressure, high temperature reservoir conditions</t>
  </si>
  <si>
    <t xml:space="preserve">Goodwin N.; May M.; Wilson S.; Graham G.</t>
  </si>
  <si>
    <t xml:space="preserve">Proceedings - SPE International Symposium on Formation Damage Control</t>
  </si>
  <si>
    <t xml:space="preserve">Study on deposit formation model in sulfide-containing natural gas environment</t>
  </si>
  <si>
    <t xml:space="preserve">Yongliang L.; Zhidong O.; Hongda D.; Zewei Z.; Yunfan Z.; Jian L.</t>
  </si>
  <si>
    <t xml:space="preserve">10.1007/s13202-022-01594-y</t>
  </si>
  <si>
    <t xml:space="preserve">Calculation of volume fractions regardless scale deposition in the oil industry pipelines using feed-forward multilayer perceptron artificial neural network and MCNP6 code</t>
  </si>
  <si>
    <t xml:space="preserve">Salgado, CM; Dam, RSF; Puertas, EJA; Salgado, WL</t>
  </si>
  <si>
    <t xml:space="preserve">APPLIED RADIATION AND ISOTOPES</t>
  </si>
  <si>
    <t xml:space="preserve">10.1016/j.apradiso.2022.110215</t>
  </si>
  <si>
    <t xml:space="preserve">Inorganic scale thickness prediction in oil pipelines by gamma-ray attenuation and artificial neural network</t>
  </si>
  <si>
    <t xml:space="preserve">Teixeira, TP; Salgado, CM; Dam, RSD; Salgado, WL</t>
  </si>
  <si>
    <t xml:space="preserve">10.1016/j.apradiso.2018.08.008</t>
  </si>
  <si>
    <t xml:space="preserve">Application of deep neural network and gamma-ray scattering in eccentric scale calculation regardless of the fluids volume fraction inside a pipeline</t>
  </si>
  <si>
    <t xml:space="preserve">Dam, RSD; Salgado, WL; Schirru, R; Salgado, CM</t>
  </si>
  <si>
    <t xml:space="preserve">10.1016/j.apradiso.2022.110353</t>
  </si>
  <si>
    <t xml:space="preserve">Case study: Barium sulfate scale removal by dynamic underbalance</t>
  </si>
  <si>
    <t xml:space="preserve">Mahmud W.M.; Ermila M.</t>
  </si>
  <si>
    <t xml:space="preserve">10.2118/199232-ms</t>
  </si>
  <si>
    <t xml:space="preserve">Feasibility assessment of calcium carbonate scale thickness and volume fraction estimation in three-phase flow using neutron activation analysis and deep neural networks</t>
  </si>
  <si>
    <t xml:space="preserve">Dam, RSD; Salgado, WL; Salgado, CM</t>
  </si>
  <si>
    <t xml:space="preserve">10.1016/j.apradiso.2026.112821</t>
  </si>
  <si>
    <t xml:space="preserve">Method of Ultrasonic Inspection for Scale Thickness in Titanium Alloy Seawater Pipelines</t>
  </si>
  <si>
    <t xml:space="preserve">Y. Huang; Z. Lin; E. Yan; Q. Pan; L. Xu; R. Liao; J. Sun</t>
  </si>
  <si>
    <t xml:space="preserve">2026 IEEE International Conference on Mechatronics and Automation (ICMA)</t>
  </si>
  <si>
    <t xml:space="preserve">10.1109/ICMA69663.2026.11647573</t>
  </si>
  <si>
    <t xml:space="preserve">Electro-Hydraulic Pulsing Used to Clear Barium Sulfate Scale and Improve Production on a Multi-Well Campaign</t>
  </si>
  <si>
    <t xml:space="preserve">Cubas D.; Kamaraj K.; Perri M.; McKenzie C.; Fisher J.</t>
  </si>
  <si>
    <t xml:space="preserve">Society of Petroleum Engineers - SPE/ICoTA Well Intervention Conference and Exhibition, CTWI 2026</t>
  </si>
  <si>
    <t xml:space="preserve">10.2118/231343-MS</t>
  </si>
  <si>
    <t xml:space="preserve">Effect of Inorganic Scales on Water Injection Performance: Quantitative Analysis, Mitigation, and Prevention Measures</t>
  </si>
  <si>
    <t xml:space="preserve">Durmagambetov B.; Abdrazakov D.</t>
  </si>
  <si>
    <t xml:space="preserve">10.2118/230006-MS</t>
  </si>
  <si>
    <t xml:space="preserve">Non-Contact Measurement of Non-Metallic Scale Thickness on the Back Side of Ferromagnetic Materials Using Electromagnetic Force–Induced Vibration</t>
  </si>
  <si>
    <t xml:space="preserve">M. Tohara; K. Okuma; Y. Gotoh</t>
  </si>
  <si>
    <t xml:space="preserve">IEEE Transactions on Magnetics</t>
  </si>
  <si>
    <t xml:space="preserve">10.1109/TMAG.2026.3695830</t>
  </si>
  <si>
    <t xml:space="preserve">M</t>
  </si>
  <si>
    <t xml:space="preserve">Use of rice straw-based biochar for batch sorption of barium/strontium from saline water: Protection against scale formation in petroleum/desalination industries</t>
  </si>
  <si>
    <t xml:space="preserve">Younis S.A.; El-Salamony R.A.; Tsang Y.F.; Kim K.-H.</t>
  </si>
  <si>
    <t xml:space="preserve">Journal of Cleaner Production</t>
  </si>
  <si>
    <t xml:space="preserve">10.1016/j.jclepro.2019.119442</t>
  </si>
  <si>
    <t xml:space="preserve">Acoustic Anti-Scaling Technology for Sustainable Scaling Prevention in the Oil and Gas Industry</t>
  </si>
  <si>
    <t xml:space="preserve">Al Munif E.H.; Alhamad L.A.; Almubarak T.A.</t>
  </si>
  <si>
    <t xml:space="preserve">Society of Petroleum Engineers - ADIPEC, ADIP 2023</t>
  </si>
  <si>
    <t xml:space="preserve">10.2118/216280-MS</t>
  </si>
  <si>
    <t xml:space="preserve">Comparison of indices for scaling and corrosion tendency of groundwater: Case study of unconfined aquifer from Mahoba District, U.P. State</t>
  </si>
  <si>
    <t xml:space="preserve">Mankikar T.Y.</t>
  </si>
  <si>
    <t xml:space="preserve">Applied Water Science</t>
  </si>
  <si>
    <t xml:space="preserve">10.1007/s13201-021-01423-3</t>
  </si>
  <si>
    <t xml:space="preserve">ASSESSMENT OF OF QUALITY AND POTENTIAL OF SCALE FORMATION AND CORROSIVITY OF DRINKING WATER SUPPLIED FROM DISI TO AMMAN, JORDAN</t>
  </si>
  <si>
    <t xml:space="preserve">AlShamaileh, E; AlRawajfeh, A; AlMa'abrah, A</t>
  </si>
  <si>
    <t xml:space="preserve">FRESENIUS ENVIRONMENTAL BULLETIN</t>
  </si>
  <si>
    <t xml:space="preserve">Evaluation of Water Quality Influence on Power Plant Cooling System</t>
  </si>
  <si>
    <t xml:space="preserve">J. Boguniewicz-Zablocka; P. Danisz; R. Gono</t>
  </si>
  <si>
    <t xml:space="preserve">2022 22nd International Scientific Conference on Electric Power Engineering (EPE)</t>
  </si>
  <si>
    <t xml:space="preserve">10.1109/EPE54603.2022.9814150</t>
  </si>
  <si>
    <t xml:space="preserve">Study on removing calcium carbonate plug from near wellbore by high-power ultrasonic treatment</t>
  </si>
  <si>
    <t xml:space="preserve">Zhang X.; Zang C.; Ma H.; Wang Z.</t>
  </si>
  <si>
    <t xml:space="preserve">Ultrasonics Sonochemistry</t>
  </si>
  <si>
    <t xml:space="preserve">10.1016/j.ultsonch.2019.03.006</t>
  </si>
  <si>
    <t xml:space="preserve">Ultrasound based technology for removal of scale from downhole production tubing, an experimental verification</t>
  </si>
  <si>
    <t xml:space="preserve">Wood R.J.; Hamidi H.; Far A.J.</t>
  </si>
  <si>
    <t xml:space="preserve">10.1016/j.geoen.2024.212783</t>
  </si>
  <si>
    <t xml:space="preserve">Fiber Optic Sensor with an Optically Transparent Electrode for Monitoring CaCO3 Scale Formation in Geothermal Water</t>
  </si>
  <si>
    <t xml:space="preserve">T. Okazaki; T. Yamamoto; A. Taguchi; A. Ueda; H. Kuramitz</t>
  </si>
  <si>
    <t xml:space="preserve">IEEE Sensors Letters</t>
  </si>
  <si>
    <t xml:space="preserve">10.1109/LSENS.2017.2739806</t>
  </si>
  <si>
    <t xml:space="preserve">Real-Time Monitoring of CaCO3 Precipitation Using Fiber Optics Scale Sensor Under High Temperature and Pressure Conditions</t>
  </si>
  <si>
    <t xml:space="preserve">S. Satake; A. Hosoki; T. Okazaki; A. Ueda; H. Kuramitz; A. Terai</t>
  </si>
  <si>
    <t xml:space="preserve">2024 IEEE SENSORS</t>
  </si>
  <si>
    <t xml:space="preserve">10.1109/SENSORS60989.2024.10784725</t>
  </si>
  <si>
    <t xml:space="preserve">Novel assessment of in-operations mapped stainless steel elbow pipe internal wall for detection of corrosion and scale deposition</t>
  </si>
  <si>
    <t xml:space="preserve">Hamzat A.K.; Memon A.M.; Alhems L.M.</t>
  </si>
  <si>
    <t xml:space="preserve">International Journal of Corrosion and Scale Inhibition</t>
  </si>
  <si>
    <t xml:space="preserve">10.17675/2305-6894-2022-11-4-5</t>
  </si>
  <si>
    <t xml:space="preserve">The Synergistic Effects of Ultrasonic Acoustic Cavitation with ChemicalDissolvers on Calcium Sulfate Scale Dissolution</t>
  </si>
  <si>
    <t xml:space="preserve">Canciani C.; Alaseri G.; Alguydi A.; Alissa F.</t>
  </si>
  <si>
    <t xml:space="preserve">Proceedings of the Annual Offshore Technology Conference</t>
  </si>
  <si>
    <t xml:space="preserve">10.4043/35554-MS</t>
  </si>
  <si>
    <t xml:space="preserve">Hetero-Core Fiber Optic SPR Sensor for Silica Scale Formation in Geothermal Water</t>
  </si>
  <si>
    <t xml:space="preserve">A. Suka; A. Hosoki; S. Satake; F. Abrishamian; H. Yang; A. Ueda; H. Kuramitz; A. Terai</t>
  </si>
  <si>
    <t xml:space="preserve">2025 IEEE SENSORS</t>
  </si>
  <si>
    <t xml:space="preserve">10.1109/SENSORS59705.2025.11330440</t>
  </si>
  <si>
    <t xml:space="preserve">Design and Implementation of a Fan Beam Tomography System for The Performance Evaluation of Geothermal Pipe</t>
  </si>
  <si>
    <t xml:space="preserve">Wibisono; F. R. Ningsih; P. Sidauruk; S. K. Wijaya</t>
  </si>
  <si>
    <t xml:space="preserve">2020 International Conference on Sustainable Energy Engineering and Application (ICSEEA)</t>
  </si>
  <si>
    <t xml:space="preserve">10.1109/ICSEEA50711.2020.9306184</t>
  </si>
  <si>
    <t xml:space="preserve">Pilot Search Classification &amp; Tracking Workbook</t>
  </si>
  <si>
    <t xml:space="preserve">Scale Formation Directed Research — Systematic Review Pilot Stage</t>
  </si>
  <si>
    <t xml:space="preserve">How to use this workbook</t>
  </si>
  <si>
    <t xml:space="preserve">1. Go to the 'Search Log' tab — it already records every pilot query run so far (Query 1, Query 5, B1, B2, and the fixes). Add new rows as you run more.</t>
  </si>
  <si>
    <t xml:space="preserve">2. Export each candidate query's results from Scopus/IEEE/WoS/ScienceDirect as CSV, then paste the Authors/Title/Year/Venue/DOI columns into the 'RMI Classification' tab.</t>
  </si>
  <si>
    <t xml:space="preserve">3. For each row, read the title + abstract and set the Tag column to R, M, or I (dropdown provided). Use the Query Source column to mark which candidate query the record came from.</t>
  </si>
  <si>
    <t xml:space="preserve">4. The 'Metrics' tab auto-calculates Direct Relevance % and Coverage % per query — nothing to fill in there, it updates from your tags.</t>
  </si>
  <si>
    <t xml:space="preserve">Tag definitions (R / M / I)</t>
  </si>
  <si>
    <t xml:space="preserve">R — Relevant: directly studies scale formation/prediction/monitoring/inhibitor optimization in a pipeline, wellbore, reservoir, or production-system context, with a clear method contribution.</t>
  </si>
  <si>
    <t xml:space="preserve">M — Maybe: related but unclear — general aqueous/mineral scale chemistry with no stated pipeline/production context, corrosion-focused papers only mentioning scale in passing, or membrane/RO scaling that may be transferable evidence.</t>
  </si>
  <si>
    <t xml:space="preserve">I — Irrelevant: clearly off-topic — geology/mineral-genesis papers with no operational relevance, or false-positive term collisions (e.g. "scaling" meaning "scaling up/scalability").</t>
  </si>
  <si>
    <t xml:space="preserve">Color legend</t>
  </si>
  <si>
    <t xml:space="preserve">Blue text = cells you fill in.  Black text = pre-filled data or formulas — don't overwrite formulas.  Grey italic = example row, delete or overwrite it before adding real data.</t>
  </si>
  <si>
    <t xml:space="preserve">Version</t>
  </si>
  <si>
    <t xml:space="preserve">Query Label</t>
  </si>
  <si>
    <t xml:space="preserve">Database</t>
  </si>
  <si>
    <t xml:space="preserve">Concept-Block Logic</t>
  </si>
  <si>
    <t xml:space="preserve">Filters Applied</t>
  </si>
  <si>
    <t xml:space="preserve">Date Run</t>
  </si>
  <si>
    <t xml:space="preserve"># Results</t>
  </si>
  <si>
    <t xml:space="preserve">Decision / Notes</t>
  </si>
  <si>
    <t xml:space="preserve">v0.1</t>
  </si>
  <si>
    <t xml:space="preserve">Query 1 (Pilot A — initial)</t>
  </si>
  <si>
    <t xml:space="preserve">Scopus</t>
  </si>
  <si>
    <t xml:space="preserve">A [incl. bare "scaling"] AND B(species) AND C(context) AND (D OR E)</t>
  </si>
  <si>
    <t xml:space="preserve">PUBYEAR 2016–2026, English, Journal+Conference proceeding, Subject area: Energy/ChemEng/Chemistry/Engineering/MaterialsSci/EnvSci</t>
  </si>
  <si>
    <t xml:space="preserve">Baseline high-specificity pilot</t>
  </si>
  <si>
    <t xml:space="preserve">v0.2</t>
  </si>
  <si>
    <t xml:space="preserve">Query 5 (Pilot B — initial)</t>
  </si>
  <si>
    <t xml:space="preserve">A [incl. bare "scaling"] AND C(context) AND (D OR E OR F OR G), species dropped</t>
  </si>
  <si>
    <t xml:space="preserve">~8x Query 1 — flagged as too broad, decomposed into B1/B2</t>
  </si>
  <si>
    <t xml:space="preserve">v0.3</t>
  </si>
  <si>
    <t xml:space="preserve">B1 — isolate species-drop</t>
  </si>
  <si>
    <t xml:space="preserve">A [incl. bare "scaling"] AND C AND (D OR E), species dropped, OR-group unchanged</t>
  </si>
  <si>
    <t xml:space="preserve">Confirms species-drop is the dominant driver (~6.2x)</t>
  </si>
  <si>
    <t xml:space="preserve">v0.4</t>
  </si>
  <si>
    <t xml:space="preserve">B2 — isolate OR-group widening</t>
  </si>
  <si>
    <t xml:space="preserve">A [incl. bare "scaling"] AND B AND C AND (D OR E OR F OR G), species kept</t>
  </si>
  <si>
    <t xml:space="preserve">Modest driver (~1.8x) vs B1's 6.2x — not the main cause</t>
  </si>
  <si>
    <t xml:space="preserve">v0.5</t>
  </si>
  <si>
    <t xml:space="preserve">B1 tightened — remove bare "scaling"</t>
  </si>
  <si>
    <t xml:space="preserve">A [phrases only, no bare "scaling"] AND C AND (D OR E), species dropped</t>
  </si>
  <si>
    <t xml:space="preserve">Confirms "scaling" ambiguity caused ~82% of B1's inflation</t>
  </si>
  <si>
    <t xml:space="preserve">v0.6</t>
  </si>
  <si>
    <t xml:space="preserve">Query 1 tightened — sanity check</t>
  </si>
  <si>
    <t xml:space="preserve">A [phrases only, no bare "scaling"] AND B AND C AND (D OR E), species kept</t>
  </si>
  <si>
    <t xml:space="preserve">Reveals bare "scaling"+species carries real signal — lost 128 real records</t>
  </si>
  <si>
    <t xml:space="preserve">v1.0</t>
  </si>
  <si>
    <t xml:space="preserve">Query verified via Scopus history (303) — CANDIDATE 1</t>
  </si>
  <si>
    <t xml:space="preserve">Species mandatory (constant, not a variable) + Block A WITH bare "scaling" + narrow OR-group (D OR E only) + 6 subject areas (no COMP/EART)</t>
  </si>
  <si>
    <t xml:space="preserve">RESULT: N=303, R=237 M=41 I=25 -&gt; Direct relevance 78.2%, Coverage 91.7%. CORRECTED NOTE: species was mandatory in BOTH candidates — not the variable being tested.</t>
  </si>
  <si>
    <t xml:space="preserve">v1.1</t>
  </si>
  <si>
    <t xml:space="preserve">Query verified via Scopus history (354) — CANDIDATE 2 (FROZEN)</t>
  </si>
  <si>
    <t xml:space="preserve">Species mandatory (constant) + Block A phrases only (no bare "scaling") + wide OR-group (D OR E OR F OR G combined) + 8 subject areas (+COMP +EART)</t>
  </si>
  <si>
    <t xml:space="preserve">RESULT: N=354, R=311 M=34 I=9 -&gt; Direct relevance 87.9%, Coverage 97.5%. RECOMMENDED FROZEN CORE STRING. Higher score vs Candidate 1 is explained by removing the 'scaling' ambiguity + widening the OR-group (F/G folded in) + wider subject net — NOT by species, which was mandatory in both.</t>
  </si>
  <si>
    <t xml:space="preserve">B2 (CANDIDATE 3, optional)</t>
  </si>
  <si>
    <t xml:space="preserve">A [scaling restored] AND B AND C AND (D OR E OR F OR G)</t>
  </si>
  <si>
    <t xml:space="preserve">Pending decision whether F/G widening is worth keeping</t>
  </si>
  <si>
    <t xml:space="preserve">Query 2 — Objective 1 (sensor fusion)</t>
  </si>
  <si>
    <t xml:space="preserve">A AND C AND F AND (D OR E)</t>
  </si>
  <si>
    <t xml:space="preserve">Supplementary probe — run AFTER core string is frozen, not part of Pilot A/B decision</t>
  </si>
  <si>
    <t xml:space="preserve">Query 3 — Objective 2 (inhibitor optimization)</t>
  </si>
  <si>
    <t xml:space="preserve">A AND C AND G AND (D OR E)</t>
  </si>
  <si>
    <t xml:space="preserve">Supplementary probe — run AFTER core string is frozen</t>
  </si>
  <si>
    <t xml:space="preserve">Query 4 — Objective 3 (digital twin/decision support)</t>
  </si>
  <si>
    <t xml:space="preserve">A AND C AND (F OR H) AND (SCADA/digital twin/decision support)</t>
  </si>
  <si>
    <t xml:space="preserve">Supplementary probe — low count expected = gap evidence, not a failed search</t>
  </si>
  <si>
    <t xml:space="preserve">DECISION</t>
  </si>
  <si>
    <t xml:space="preserve">Frozen core search string = 354-query (verified via Scopus history): species mandatory + Block A phrases only (no bare 'scaling') + full (D OR E OR F OR G) OR-group + 8 subject areas incl. COMP/EART. Objective-specific probes (Queries 2-4) are now redundant since F/G are already folded into this frozen string.</t>
  </si>
  <si>
    <t xml:space="preserve">v2.0</t>
  </si>
  <si>
    <t xml:space="preserve">IEEE Xplore — Block D (methodology/kinetics)</t>
  </si>
  <si>
    <t xml:space="preserve">IEEE Xplore</t>
  </si>
  <si>
    <t xml:space="preserve">A AND B(species) AND C(context) AND D, tag-per-term syntax (grouped tag syntax returned 0 results — IEEE parser bug)</t>
  </si>
  <si>
    <t xml:space="preserve">PUBYEAR 2016-2026, English, Full Text &amp; Metadata field, run as 4 separate sub-searches (Row4 swapped per block) due to institutional network rejecting the single combined Command Search URL</t>
  </si>
  <si>
    <t xml:space="preserve">RESULT: R=5 M=3 I=10 -&gt; Direct relevance 27.8%, Coverage 44.4%</t>
  </si>
  <si>
    <t xml:space="preserve">v2.1</t>
  </si>
  <si>
    <t xml:space="preserve">IEEE Xplore — Block E (AI/ML)</t>
  </si>
  <si>
    <t xml:space="preserve">A AND B AND C AND E</t>
  </si>
  <si>
    <t xml:space="preserve">RESULT: R=2 M=1 I=2 -&gt; Direct relevance 40.0%, Coverage 60.0%</t>
  </si>
  <si>
    <t xml:space="preserve">v2.2</t>
  </si>
  <si>
    <t xml:space="preserve">IEEE Xplore — Block F (sensing/monitoring)</t>
  </si>
  <si>
    <t xml:space="preserve">A AND B AND C AND F</t>
  </si>
  <si>
    <t xml:space="preserve">RESULT: R=5 M=2 I=6 -&gt; Direct relevance 38.5%, Coverage 53.8%</t>
  </si>
  <si>
    <t xml:space="preserve">v2.3</t>
  </si>
  <si>
    <t xml:space="preserve">IEEE Xplore — Block G (inhibitor/dosage)</t>
  </si>
  <si>
    <t xml:space="preserve">A AND B AND C AND G</t>
  </si>
  <si>
    <t xml:space="preserve">RESULT: R=1 M=3 I=7 -&gt; Direct relevance 9.1%, Coverage 36.4%. Weakest block — IEEE has little inhibitor-chemistry literature</t>
  </si>
  <si>
    <t xml:space="preserve">v2.SUM</t>
  </si>
  <si>
    <t xml:space="preserve">IEEE Xplore — combined unique set (27 after dedup across D/E/F/G)</t>
  </si>
  <si>
    <t xml:space="preserve">RESULT: R=8 M=7 I=12 -&gt; Direct relevance 29.6%, Coverage 55.6%. Much noisier than Scopus (book-chapter/TOC indexing artifacts + off-domain hits) — expected, IEEE is not a petroleum-chemistry-focused database.</t>
  </si>
  <si>
    <t xml:space="preserve">v3.0</t>
  </si>
  <si>
    <t xml:space="preserve">Web of Science Core Collection — frozen query</t>
  </si>
  <si>
    <t xml:space="preserve">Web of Science</t>
  </si>
  <si>
    <t xml:space="preserve">TS=(A AND B AND C AND (D OR E OR F OR G)) AND PY=(2016-2026), Full Record export</t>
  </si>
  <si>
    <t xml:space="preserve">PY=2016-2026, single unified TS= query (same frozen logic as Scopus/IEEE)</t>
  </si>
  <si>
    <t xml:space="preserve">RESULT: R=158 M=24 I=10 -&gt; Direct relevance 82.3%, Coverage 94.8%. Strong overlap with Scopus (123/192 titles already classified there) — second-strongest database after Scopus, far ahead of IEEE.</t>
  </si>
  <si>
    <t xml:space="preserve">v4.0</t>
  </si>
  <si>
    <t xml:space="preserve">ScienceDirect — Query 1 (species+context+prediction/inhibitor)</t>
  </si>
  <si>
    <t xml:space="preserve">ScienceDirect</t>
  </si>
  <si>
    <t xml:space="preserve">"scale formation" AND (CaCO3 OR BaSO4 OR SrSO4) AND (pipeline OR oilfield OR reservoir) AND (prediction OR inhibitor)</t>
  </si>
  <si>
    <t xml:space="preserve">8-Boolean-connector cap forced heavy query simplification; PY=2016-2026</t>
  </si>
  <si>
    <t xml:space="preserve">RESULT: R=2 M=0 I=0 -&gt; Direct relevance 100%. Both directly relevant oilfield scale-inhibitor papers.</t>
  </si>
  <si>
    <t xml:space="preserve">v4.1</t>
  </si>
  <si>
    <t xml:space="preserve">ScienceDirect — Query 2 (species+context+AI/monitoring)</t>
  </si>
  <si>
    <t xml:space="preserve">"scale formation" AND (CaCO3 OR BaSO4 OR SrSO4) AND (pipeline OR oilfield OR reservoir) AND ("machine learning" OR monitoring)</t>
  </si>
  <si>
    <t xml:space="preserve">RESULT: duplicate of a Query 1 record - no unique contribution. Combined unique ScienceDirect corpus = 2 records.</t>
  </si>
  <si>
    <t xml:space="preserve">v5.0</t>
  </si>
  <si>
    <t xml:space="preserve">Saudi Digital Library (SDL) -- supplementary search</t>
  </si>
  <si>
    <t xml:space="preserve">Saudi Digital Library (SDL)</t>
  </si>
  <si>
    <t xml:space="preserve">("scale formation" OR "scale deposition" OR "mineral scaling") AND (CaCO3 OR BaSO4 OR SrSO4 OR carbonate scale OR sulfate scale) AND (pipeline OR wellbore OR oilfield OR "flow assurance") AND (inhibitor OR kinetics OR sensing OR prediction OR "machine learning")</t>
  </si>
  <si>
    <t xml:space="preserve">Source Types: Academic Journals; Language: English; Published Date 2016-10-01 to 2026-10-01; federated search across OpenAIRE, DOAJ, MEDLINE, RePEc (via EBSCO Discovery API)</t>
  </si>
  <si>
    <t xml:space="preserve">RESULT: 59 unique records returned (75 raw, 59 deduped by SDL's own engine). Cross-matched by DOI/title against the existing 439-record master corpus: 38 were already captured via Scopus/WoS (expected -- SDL is a federated discovery layer re-indexing the same publishers), 21 genuinely new. Of the 21 new: R=18 M=1 I=2 -&gt; Direct relevance 85.7%, Coverage 90.5%. Strong supplementary yield, on par with WoS.</t>
  </si>
  <si>
    <t xml:space="preserve">Record ID</t>
  </si>
  <si>
    <t xml:space="preserve">Venue / Source</t>
  </si>
  <si>
    <t xml:space="preserve">Query Source</t>
  </si>
  <si>
    <t xml:space="preserve">Tag (R/M/I)</t>
  </si>
  <si>
    <t xml:space="preserve">Reason / Note</t>
  </si>
  <si>
    <t xml:space="preserve">EX-001</t>
  </si>
  <si>
    <t xml:space="preserve">Tomson, M.B. et al.</t>
  </si>
  <si>
    <t xml:space="preserve">EXAMPLE ROW — delete before adding real data: Coupled thermodynamic-kinetic modeling of CaCO3 scale deposition in production tubing</t>
  </si>
  <si>
    <t xml:space="preserve">10.1016/j.example</t>
  </si>
  <si>
    <t xml:space="preserve">v1.0 Core query (303)</t>
  </si>
  <si>
    <t xml:space="preserve">Direct pipeline scale-prediction study with quantitative kinetic model</t>
  </si>
  <si>
    <t xml:space="preserve">U001</t>
  </si>
  <si>
    <t xml:space="preserve">Wang X.; Chen X.; Ma C.; Lu S.; Zhang L.; Chen Y.; Hushvaktov H.; Zhang X.</t>
  </si>
  <si>
    <t xml:space="preserve">A DNN surrogate framework with mode-aware scoring for blast-resistant design of CFRP-steel fiber metal laminates</t>
  </si>
  <si>
    <t xml:space="preserve">Journal of Materials Research and Technology</t>
  </si>
  <si>
    <t xml:space="preserve">10.1016/j.jmrt.2026.08.159</t>
  </si>
  <si>
    <t xml:space="preserve">I</t>
  </si>
  <si>
    <t xml:space="preserve">Blast-resistant CFRP-steel laminate structural design; no scale-formation relevance</t>
  </si>
  <si>
    <t xml:space="preserve">U002</t>
  </si>
  <si>
    <t xml:space="preserve">Maciel R.S.; Carneiro J.N.E.; Souza A.F.F.; Monteiro D.; Gunnerud V.</t>
  </si>
  <si>
    <t xml:space="preserve">A method for inorganic scaling simulation: multiphase flow and multi-ionic brine with a mass transfer approach</t>
  </si>
  <si>
    <t xml:space="preserve">Journal of the Brazilian Society of Mechanical Sciences and Engineering</t>
  </si>
  <si>
    <t xml:space="preserve">10.1007/s40430-025-06290-6</t>
  </si>
  <si>
    <t xml:space="preserve">Inorganic scaling simulation, multiphase flow, pre-salt reservoir flow assurance</t>
  </si>
  <si>
    <t xml:space="preserve">U003</t>
  </si>
  <si>
    <t xml:space="preserve">Moussa B.; Med Ali A.; Abdeljaber T.; Mohamed Abdelbasset M.</t>
  </si>
  <si>
    <t xml:space="preserve">Artificial-intelligence modeling of carbonate scaling tendency in Hassi Messaoud oilfield groundwater: linear versus nonlinear approaches</t>
  </si>
  <si>
    <t xml:space="preserve">Journal of African Earth Sciences</t>
  </si>
  <si>
    <t xml:space="preserve">10.1016/j.jafrearsci.2026.106243</t>
  </si>
  <si>
    <t xml:space="preserve">v1.1 B1 tightened (354)</t>
  </si>
  <si>
    <t xml:space="preserve">AI modeling of carbonate scaling tendency, oilfield groundwater, explicit</t>
  </si>
  <si>
    <t xml:space="preserve">U004</t>
  </si>
  <si>
    <t xml:space="preserve">Ma C.; Tong Y.</t>
  </si>
  <si>
    <t xml:space="preserve">Co-deposition of calcium carbonate and barium sulfate on the surface of iron-based pipe scaling mechanism and descaling agent system research</t>
  </si>
  <si>
    <t xml:space="preserve">Surfaces and Interfaces</t>
  </si>
  <si>
    <t xml:space="preserve">10.1016/j.surfin.2026.109312</t>
  </si>
  <si>
    <t xml:space="preserve">CaCO3+BaSO4 co-deposition on iron pipe, descaling agent, oil&amp;gas production</t>
  </si>
  <si>
    <t xml:space="preserve">U005</t>
  </si>
  <si>
    <t xml:space="preserve">Ali H.A.; El-Makaty F.M.; Liu M.; Li X.; Mady M.F.</t>
  </si>
  <si>
    <t xml:space="preserve">Comparative performance of silica vs mesoporous silica nanoparticles coated with DTPMP for gypsum and calcite management</t>
  </si>
  <si>
    <t xml:space="preserve">Journal of Water Process Engineering</t>
  </si>
  <si>
    <t xml:space="preserve">10.1016/j.jwpe.2026.109939</t>
  </si>
  <si>
    <t xml:space="preserve">Nanoparticle inhibitors for gypsum/calcite, explicit oil and gas production</t>
  </si>
  <si>
    <t xml:space="preserve">U006</t>
  </si>
  <si>
    <t xml:space="preserve">Goswami S.; Rai A.K.</t>
  </si>
  <si>
    <t xml:space="preserve">Coupled hydrogeological and geochemical processes and structural controls on geothermal systems in Odisha, India</t>
  </si>
  <si>
    <t xml:space="preserve">Environmental Earth Sciences</t>
  </si>
  <si>
    <t xml:space="preserve">10.1007/s12665-026-13009-w</t>
  </si>
  <si>
    <t xml:space="preserve">Geothermal hydrogeochemistry/structural study, no scale-formation focus</t>
  </si>
  <si>
    <t xml:space="preserve">U007</t>
  </si>
  <si>
    <t xml:space="preserve">Lagarrigue E.; Rachid Haro R.G.; Arali V.; Araque G.; Misbah M.; Ryan A.; Mendez A.; Illa X.</t>
  </si>
  <si>
    <t xml:space="preserve">Development and Qualification of an Ultra-High-Salinity Fracturing Fluid with Integrated Friction Reduction and Scale Control for Water-Constrained Fields</t>
  </si>
  <si>
    <t xml:space="preserve">Society of Petroleum Engineers - SPE Hydraulic Fracturing Technology Conference and Exhibition, HFTC 2026</t>
  </si>
  <si>
    <t xml:space="preserve">10.2118/230627-MS</t>
  </si>
  <si>
    <t xml:space="preserve">Fracturing fluid with integrated scale inhibitor testing, water-constrained oilfields</t>
  </si>
  <si>
    <t xml:space="preserve">U008</t>
  </si>
  <si>
    <t xml:space="preserve">Ganie S.A.; Khaled M.; Mady M.F.</t>
  </si>
  <si>
    <t xml:space="preserve">Dicarboxylated Alginic Acid as a Dual-Functional Corrosion and Scale Inhibitor for Oil and Gas Industry</t>
  </si>
  <si>
    <t xml:space="preserve">10.1021/acs.energyfuels.5c06808</t>
  </si>
  <si>
    <t xml:space="preserve">Dual corrosion+scale inhibitor, explicit oil and gas industry</t>
  </si>
  <si>
    <t xml:space="preserve">U009</t>
  </si>
  <si>
    <t xml:space="preserve">Sui X.; Wang Z.; Sun B.; Guo Y.</t>
  </si>
  <si>
    <t xml:space="preserve">Dynamic Calcium Carbonate Scaling in Porous Media under Gas/Liquid Two-Phase Flow Conditions</t>
  </si>
  <si>
    <t xml:space="preserve">10.2118/231846-PA</t>
  </si>
  <si>
    <t xml:space="preserve">Dynamic CaCO3 scaling in porous media, gas well reservoir, explicit</t>
  </si>
  <si>
    <t xml:space="preserve">U010</t>
  </si>
  <si>
    <t xml:space="preserve">Liu B.; Zhang Z.; Zhang Y.; Liu B.; Guo P.; Dai Y.; Ma M.; Zhang W.; Yang C.; Xu X.; Pan Q.; Chen A.; Zhang J.; Shen L.; Zhao L.; Wang Z.</t>
  </si>
  <si>
    <t xml:space="preserve">Dynamic Charge Storage via Gallium Mediation: Tuning Lewis Acidity of Atomic Dispersed Fe Sites for Enhanced Fuel Cell Performance</t>
  </si>
  <si>
    <t xml:space="preserve">Advanced Functional Materials</t>
  </si>
  <si>
    <t xml:space="preserve">10.1002/adfm.202531550</t>
  </si>
  <si>
    <t xml:space="preserve">Fuel cell catalyst 'scaling relationships' - term-collision false positive</t>
  </si>
  <si>
    <t xml:space="preserve">U011</t>
  </si>
  <si>
    <t xml:space="preserve">Electro-hydraulic pulsing removes BaSO4 scale, North Sea production wells</t>
  </si>
  <si>
    <t xml:space="preserve">U012</t>
  </si>
  <si>
    <t xml:space="preserve">Wang T.; Sai Y.; Sun L.; Huang J.; Han P.; Jia J.</t>
  </si>
  <si>
    <t xml:space="preserve">Enhancing the Safe Management of Oil–Gas Gathering and Transportation Stations to Ensure Efficient Petroleum Transportation and Storage</t>
  </si>
  <si>
    <t xml:space="preserve">Coatings</t>
  </si>
  <si>
    <t xml:space="preserve">10.3390/coatings16050618</t>
  </si>
  <si>
    <t xml:space="preserve">Oil-gas gathering station corrosion/scaling field study, explicit</t>
  </si>
  <si>
    <t xml:space="preserve">U013</t>
  </si>
  <si>
    <t xml:space="preserve">Yoo S.; Ueda A.; Ozawa A.; Kusakabe Y.; Hiroki M.; Ohkawa M.; Tanikawa S.</t>
  </si>
  <si>
    <t xml:space="preserve">Environmental impact assessment of seal water systems during construction of rock cavern tanks at the Namikata National LPG stockpiling base: Characterization of scale deposition using scale surveys and column flow tests</t>
  </si>
  <si>
    <t xml:space="preserve">Applied Geochemistry</t>
  </si>
  <si>
    <t xml:space="preserve">10.1016/j.apgeochem.2026.106868</t>
  </si>
  <si>
    <t xml:space="preserve">LPG storage cavern seal water scale survey - adjacent industrial context</t>
  </si>
  <si>
    <t xml:space="preserve">U014</t>
  </si>
  <si>
    <t xml:space="preserve">Zhang B.; Su B.; Bai Y.; Wu S.; Liu Y.; Meng Z.; Hou B.</t>
  </si>
  <si>
    <t xml:space="preserve">General Strategy of Polymer Chain Modified Carbon Dots and Elucidation of Multi-Functional Group Synergistic Scale Inhibition Mechanism</t>
  </si>
  <si>
    <t xml:space="preserve">Journal of Materials Engineering and Performance</t>
  </si>
  <si>
    <t xml:space="preserve">10.1007/s11665-026-13813-2</t>
  </si>
  <si>
    <t xml:space="preserve">Carbon-dot scale inhibitor, pipelines/reservoirs water injection, explicit</t>
  </si>
  <si>
    <t xml:space="preserve">U015</t>
  </si>
  <si>
    <t xml:space="preserve">Nassiri M.; Karmal I.; Darbal S.; Lamine R.; El housse M.; kanoufi N.; Ben-aazza S.; Belattar M.; Driouiche A.</t>
  </si>
  <si>
    <t xml:space="preserve">Green and Sustainable Strategies for Controlling Scaling in Drip Irrigation Systems: Investigation of the Efficiency of Vitex agnus-castus Leaf Extract Against CaCO₃ Scale Using Experimental Approaches</t>
  </si>
  <si>
    <t xml:space="preserve">Water Conservation Science and Engineering</t>
  </si>
  <si>
    <t xml:space="preserve">10.1007/s41101-026-00548-3</t>
  </si>
  <si>
    <t xml:space="preserve">Green scale inhibitor for drip irrigation - different application domain</t>
  </si>
  <si>
    <t xml:space="preserve">U016</t>
  </si>
  <si>
    <t xml:space="preserve">Boukhamla M.; Arbaoui M.A.; Touahri A.; Mohamed Abdelbasset M.; Djouahi A.</t>
  </si>
  <si>
    <t xml:space="preserve">Hybrid machine learning–geochemical modeling for predictive assessment of barium sulfate scaling in oilfield fluids: a case study from the Haoud Berkaoui formation</t>
  </si>
  <si>
    <t xml:space="preserve">Petroleum Science and Technology</t>
  </si>
  <si>
    <t xml:space="preserve">10.1080/10916466.2026.2691521</t>
  </si>
  <si>
    <t xml:space="preserve">ML-geochemical BaSO4 scaling prediction, oilfield, explicit</t>
  </si>
  <si>
    <t xml:space="preserve">U017</t>
  </si>
  <si>
    <t xml:space="preserve">Zhang Y.; Li X.; Huang J.; Xie Z.; Zhang J.; Wu B.; Li Q.; Pu W.; Wang Y.; Wang Y.; Yuan X.; Guo H.; Huang X.</t>
  </si>
  <si>
    <t xml:space="preserve">Hydrochemical appraisals, genesis mechanism, and mineral scaling of geothermal waters of a sedimentary basin, southwestern China</t>
  </si>
  <si>
    <t xml:space="preserve">10.1016/j.geoen.2026.214644</t>
  </si>
  <si>
    <t xml:space="preserve">Geothermal water genesis/hydrochemistry mapping - geology, no operational focus</t>
  </si>
  <si>
    <t xml:space="preserve">U018</t>
  </si>
  <si>
    <t xml:space="preserve">Wang M.; Zhuo B.; Zhang K.; Gong H.; Dai Z.; Xie S.</t>
  </si>
  <si>
    <t xml:space="preserve">Impact of Selected Biomolecules on CaCO3 Scale Formation at pH 8</t>
  </si>
  <si>
    <t xml:space="preserve">10.2118/232800-PA</t>
  </si>
  <si>
    <t xml:space="preserve">CaCO3 scale formation, biomolecule green inhibitors, oil and gas production</t>
  </si>
  <si>
    <t xml:space="preserve">U019</t>
  </si>
  <si>
    <t xml:space="preserve">Wang Y.; Cao Q.; Yan C.; Tang X.; Zhang D.; Zhu J.</t>
  </si>
  <si>
    <t xml:space="preserve">Injection Damage in Tight Oil Reservoirs: Coupled Scaling and Fouling Mechanisms</t>
  </si>
  <si>
    <t xml:space="preserve">Fluid Dynamics and Materials Processing</t>
  </si>
  <si>
    <t xml:space="preserve">10.32604/FDMP.2026.075131</t>
  </si>
  <si>
    <t xml:space="preserve">Injection damage tight oil reservoir, coupled scaling+fouling, explicit</t>
  </si>
  <si>
    <t xml:space="preserve">U020</t>
  </si>
  <si>
    <t xml:space="preserve">Ke D.; Feng W.; Liao P.; Li R.; Xu R.; Chou Y.-M.; Jiang P.</t>
  </si>
  <si>
    <t xml:space="preserve">Kinetic model reveals microbial-mediated hydrogen consumption and abiotic mineral reactions jointly control hydrogen depletion during geological storage</t>
  </si>
  <si>
    <t xml:space="preserve">10.1016/j.apgeochem.2025.106649</t>
  </si>
  <si>
    <t xml:space="preserve">Hydrogen storage kinetic model - unrelated domain</t>
  </si>
  <si>
    <t xml:space="preserve">U021</t>
  </si>
  <si>
    <t xml:space="preserve">Pires G.L.C.; Machado G.S.; Loureiro J.B.R.; Santos H.N.; Ramos F.</t>
  </si>
  <si>
    <t xml:space="preserve">Mechanisms and zonal dynamics of calcium carbonate scaling under turbulent flow: Implications for geoenergy systems</t>
  </si>
  <si>
    <t xml:space="preserve">10.1016/j.geoen.2026.214539</t>
  </si>
  <si>
    <t xml:space="preserve">CaCO3 scaling under turbulent flow, pipelines, geoenergy systems</t>
  </si>
  <si>
    <t xml:space="preserve">U022</t>
  </si>
  <si>
    <t xml:space="preserve">Chhipa M.T.; Elsayed T.; Okoroafor E.R.</t>
  </si>
  <si>
    <t xml:space="preserve">Modeling CO2 Injectivity and Mineral Precipitation Dynamics: An Integrated Thermo-Hydro-Chemical Approach</t>
  </si>
  <si>
    <t xml:space="preserve">Society of Petroleum Engineers - SPE/AAPG/SEG Carbon Capture, Utilization, and Storage Conference and Exhibition, CCUS 2026</t>
  </si>
  <si>
    <t xml:space="preserve">10.15530/ccus-2026-4430776</t>
  </si>
  <si>
    <t xml:space="preserve">CO2 injectivity/mineral precipitation - adjacent CO2 storage domain</t>
  </si>
  <si>
    <t xml:space="preserve">U023</t>
  </si>
  <si>
    <t xml:space="preserve">Correa-Muñoz E.; Butto-Miranda N.; Parra-Muñoz N.; Díaz-Soler F.; Yazdani-Pedram M.; Neira-Carrillo A.</t>
  </si>
  <si>
    <t xml:space="preserve">Nanoscale control of CaCO₃ crystallization by sulfonated polyetherimide nanoparticles investigated via automatic potentiometric titration</t>
  </si>
  <si>
    <t xml:space="preserve">Journal of Environmental Chemical Engineering</t>
  </si>
  <si>
    <t xml:space="preserve">10.1016/j.jece.2026.122084</t>
  </si>
  <si>
    <t xml:space="preserve">CaCO3 crystallization control nanoparticles, generic 'industrial water systems'</t>
  </si>
  <si>
    <t xml:space="preserve">U024</t>
  </si>
  <si>
    <t xml:space="preserve">Dong X.; Zhou K.; Wei R.; Jia C.; Liu Z.; Wang M.; Yang X.</t>
  </si>
  <si>
    <t xml:space="preserve">Optimization of sandstone geothermal reinjection: Integrating field tests, numerical simulations and machine learning</t>
  </si>
  <si>
    <t xml:space="preserve">Renewable Energy</t>
  </si>
  <si>
    <t xml:space="preserve">10.1016/j.renene.2026.126377</t>
  </si>
  <si>
    <t xml:space="preserve">Geothermal reinjection ML optimization, no explicit scale focus</t>
  </si>
  <si>
    <t xml:space="preserve">U025</t>
  </si>
  <si>
    <t xml:space="preserve">Hybrid polymer-phosphonate scale inhibitors, oilfield water flooding</t>
  </si>
  <si>
    <t xml:space="preserve">U026</t>
  </si>
  <si>
    <t xml:space="preserve">Ganie S.A.; Pires A.; Baig M.T.; Khaled M.; Mady M.F.</t>
  </si>
  <si>
    <t xml:space="preserve">Phosphonated polyaminopropyl Biguanide: A multifunctional inhibitor for scale and corrosion protection</t>
  </si>
  <si>
    <t xml:space="preserve">Polymer</t>
  </si>
  <si>
    <t xml:space="preserve">10.1016/j.polymer.2026.130557</t>
  </si>
  <si>
    <t xml:space="preserve">Phosphonated biguanide corrosion+scale inhibitor, oilfield, explicit</t>
  </si>
  <si>
    <t xml:space="preserve">U027</t>
  </si>
  <si>
    <t xml:space="preserve">Ahmadi S.; Khormali A.</t>
  </si>
  <si>
    <t xml:space="preserve">Polymer-Based Scale Inhibition and Desorption Behavior in Carbonate Reservoirs: Core Flooding Investigation and Statistical Modeling</t>
  </si>
  <si>
    <t xml:space="preserve">10.3390/polym18111336</t>
  </si>
  <si>
    <t xml:space="preserve">Polymer scale inhibition/desorption, carbonate reservoirs core flooding</t>
  </si>
  <si>
    <t xml:space="preserve">U028</t>
  </si>
  <si>
    <t xml:space="preserve">Polymer-Based Scale Inhibition of Calcium Sulfate Using Phosphino-Polycarboxylic Acid: Experimental Evaluation, RSM Modeling, and Process Optimization</t>
  </si>
  <si>
    <t xml:space="preserve">10.3390/polym18101173</t>
  </si>
  <si>
    <t xml:space="preserve">Polymer CaSO4 scale inhibition RSM, oilfield production systems</t>
  </si>
  <si>
    <t xml:space="preserve">U029</t>
  </si>
  <si>
    <t xml:space="preserve">Hosseini S.; Sadeghein A.; Madadizadeh A.; Aghdam M.A.; Riahi S.; Saviz S.</t>
  </si>
  <si>
    <t xml:space="preserve">Predicting time-dependent scale-induced permeability reduction in water flooding: Kinetic modeling and inhibitor effectiveness under reservoir conditions</t>
  </si>
  <si>
    <t xml:space="preserve">Water Resources and Industry</t>
  </si>
  <si>
    <t xml:space="preserve">10.1016/j.wri.2026.100350</t>
  </si>
  <si>
    <t xml:space="preserve">Scale-induced permeability reduction prediction, water flooding kinetics+inhibitor</t>
  </si>
  <si>
    <t xml:space="preserve">U030</t>
  </si>
  <si>
    <t xml:space="preserve">Zailani W.M.S.W.; Omar S.; Jaafar M.Z.; Sidek M.A.M.; Masri A.N.; Alpandi A.H.</t>
  </si>
  <si>
    <t xml:space="preserve">Preliminary Evaluation of a Barley-Based Polyaspartic Acid Formulation for Calcium Carbonate Scale Control</t>
  </si>
  <si>
    <t xml:space="preserve">Malaysian Journal of Chemistry</t>
  </si>
  <si>
    <t xml:space="preserve">10.55373/mjchem.v28i4.204</t>
  </si>
  <si>
    <t xml:space="preserve">Barley polyaspartic acid CaCO3 inhibitor, oil and gas flow assurance</t>
  </si>
  <si>
    <t xml:space="preserve">U031</t>
  </si>
  <si>
    <t xml:space="preserve">Zhou M.; Liu Y.; Liu W.; Gu Y.; Yue R.; Woo H.Y.; Meng Z.; Zhou J.</t>
  </si>
  <si>
    <t xml:space="preserve">Preparation of Green Sustained-Release Solid Scale Inhibitor for Inhibiting CaSO4 Scale in Oilfield Applications</t>
  </si>
  <si>
    <t xml:space="preserve">10.1021/acs.energyfuels.6c01077</t>
  </si>
  <si>
    <t xml:space="preserve">Green solid CaSO4 scale inhibitor, oilfield waterflooding</t>
  </si>
  <si>
    <t xml:space="preserve">U032</t>
  </si>
  <si>
    <t xml:space="preserve">Georgievna V.N.; Politaeva N.A.; Yang L.; Yang P.</t>
  </si>
  <si>
    <t xml:space="preserve">Pulsed electrodialysis for demineralisation of oil refinery wastewater: bench-scale optimisation and scaling mitigation</t>
  </si>
  <si>
    <t xml:space="preserve">Environmental Technology (United Kingdom)</t>
  </si>
  <si>
    <t xml:space="preserve">10.1080/09593330.2026.2693199</t>
  </si>
  <si>
    <t xml:space="preserve">Refinery wastewater electrodialysis scaling mitigation - adjacent water treatment</t>
  </si>
  <si>
    <t xml:space="preserve">U033</t>
  </si>
  <si>
    <t xml:space="preserve">Abdelaal A.T.; El-Makaty F.M.; Kelland M.A.; Mady M.F.</t>
  </si>
  <si>
    <t xml:space="preserve">Recyclable polyaspartate-coated magnetic nanoparticles for sustainable control of calcite and barite scales in oilfield operations</t>
  </si>
  <si>
    <t xml:space="preserve">10.1016/j.jwpe.2025.109372</t>
  </si>
  <si>
    <t xml:space="preserve">Recyclable nanoparticle calcite/barite control, oilfield operations</t>
  </si>
  <si>
    <t xml:space="preserve">U034</t>
  </si>
  <si>
    <t xml:space="preserve">Duarte C.A.R.; Andrade J.R.; da Silva L.R.R.; Moura R.P.G.; Magalhães L.D.R.; de Moraes J.O.; Tallone J.P.; Gandini L.G.; Martins A.L.; de Souza F.J.</t>
  </si>
  <si>
    <t xml:space="preserve">Reduced order model for inorganic scaling in pipelines</t>
  </si>
  <si>
    <t xml:space="preserve">Powder Technology</t>
  </si>
  <si>
    <t xml:space="preserve">10.1016/j.powtec.2026.122516</t>
  </si>
  <si>
    <t xml:space="preserve">Reduced-order model for inorganic scaling in pipelines/ICDs</t>
  </si>
  <si>
    <t xml:space="preserve">U035</t>
  </si>
  <si>
    <t xml:space="preserve">Zhao Y.; Su B.; Bai Y.; Wu S.; Gao L.; Meng Z.; Hou B.</t>
  </si>
  <si>
    <t xml:space="preserve">Research on the differential side-chain design of amino acid-modified carbon quantum dots and scale inhibition mechanism toward CaCO3</t>
  </si>
  <si>
    <t xml:space="preserve">Journal of Dispersion Science and Technology</t>
  </si>
  <si>
    <t xml:space="preserve">10.1080/01932691.2026.2635440</t>
  </si>
  <si>
    <t xml:space="preserve">Amino-acid CQDs scale inhibition CaCO3, oilfield water injection</t>
  </si>
  <si>
    <t xml:space="preserve">U036</t>
  </si>
  <si>
    <t xml:space="preserve">Prajesh A.; Jain P.</t>
  </si>
  <si>
    <t xml:space="preserve">Robust and cyber-resilient attention-enhanced deep learning framework for electricity price forecasting under false data injection attacks</t>
  </si>
  <si>
    <t xml:space="preserve">Sustainable Energy, Grids and Networks</t>
  </si>
  <si>
    <t xml:space="preserve">10.1016/j.segan.2026.102497</t>
  </si>
  <si>
    <t xml:space="preserve">Electricity price forecasting deep learning - unrelated, false positive</t>
  </si>
  <si>
    <t xml:space="preserve">U037</t>
  </si>
  <si>
    <t xml:space="preserve">Zhou S.; Han L.; Ai W.; Hu H.; Ma L.; Qu C.</t>
  </si>
  <si>
    <t xml:space="preserve">Scaling behavior of mixed waters during the reinjection of fracturing flowback water and its impact on formation damage in the presence of scale inhibitors</t>
  </si>
  <si>
    <t xml:space="preserve">Brazilian Journal of Chemical Engineering</t>
  </si>
  <si>
    <t xml:space="preserve">10.1007/s43153-026-00677-1</t>
  </si>
  <si>
    <t xml:space="preserve">Mixed-water scaling, fracturing flowback reinjection, oilfield inhibitors</t>
  </si>
  <si>
    <t xml:space="preserve">U038</t>
  </si>
  <si>
    <t xml:space="preserve">Liu Q.; Wang L.; Liu J.; He L.</t>
  </si>
  <si>
    <t xml:space="preserve">Study on Scaling Mechanism and Prevention Technology of Shale Gas Wellbore</t>
  </si>
  <si>
    <t xml:space="preserve">Processes</t>
  </si>
  <si>
    <t xml:space="preserve">10.3390/pr14050879</t>
  </si>
  <si>
    <t xml:space="preserve">Scaling mechanism/prevention shale gas wellbore, explicit</t>
  </si>
  <si>
    <t xml:space="preserve">U039</t>
  </si>
  <si>
    <t xml:space="preserve">Surface-engineered magnetic nanoparticles with carboxymethyl inulin coating for interface-controlled mineral scale inhibition</t>
  </si>
  <si>
    <t xml:space="preserve">Particuology</t>
  </si>
  <si>
    <t xml:space="preserve">10.1016/j.partic.2026.05.004</t>
  </si>
  <si>
    <t xml:space="preserve">Magnetic nanoparticle mineral scale inhibition - context not explicitly oilfield</t>
  </si>
  <si>
    <t xml:space="preserve">U040</t>
  </si>
  <si>
    <t xml:space="preserve">Sustainable scale control via direct EDTMP functionalization of magnetite nanoparticles: Interfacial inhibition with magnetic recovery</t>
  </si>
  <si>
    <t xml:space="preserve">Colloids and Surfaces A: Physicochemical and Engineering Aspects</t>
  </si>
  <si>
    <t xml:space="preserve">10.1016/j.colsurfa.2026.140987</t>
  </si>
  <si>
    <t xml:space="preserve">EDTMP magnetite nanoparticle scale control, 'oilfield scale control' explicit</t>
  </si>
  <si>
    <t xml:space="preserve">U041</t>
  </si>
  <si>
    <t xml:space="preserve">Liu Y.; Su B.; Bai Y.; Wu S.; Zhang B.; Meng Z.; Hou B.</t>
  </si>
  <si>
    <t xml:space="preserve">Synthesis of a series of amino acid-modified CQDs: study on scale inhibition performance, regularities and mechanism</t>
  </si>
  <si>
    <t xml:space="preserve">10.1016/j.jwpe.2025.109317</t>
  </si>
  <si>
    <t xml:space="preserve">Amino-acid CQD scale inhibitors, oilfield water injection reservoir</t>
  </si>
  <si>
    <t xml:space="preserve">U042</t>
  </si>
  <si>
    <t xml:space="preserve">Zhou J.; You Y.; Li L.; Wu D.; Wang X.</t>
  </si>
  <si>
    <t xml:space="preserve">Temperature-dependent stabilization of amorphous calcium carbonate in Pore-Scale: Implications for injectivity and storage security in CO2 sequestration</t>
  </si>
  <si>
    <t xml:space="preserve">10.1016/j.geoen.2026.214473</t>
  </si>
  <si>
    <t xml:space="preserve">CO2 sequestration CaCO3 precipitation kinetics - adjacent domain</t>
  </si>
  <si>
    <t xml:space="preserve">U043</t>
  </si>
  <si>
    <t xml:space="preserve">Li C.; Chen Y.; Liu C.; Sun J.; Han Y.; Chen Y.; Liu H.; Du A.; Wang Q.</t>
  </si>
  <si>
    <t xml:space="preserve">Transition Effects and Stabilization Mechanisms in Groundwater-Fed Drinking Water Distribution Systems during Full-Scale Modified Pellet Fluidized Bed Softening</t>
  </si>
  <si>
    <t xml:space="preserve">ACS ES and T Engineering</t>
  </si>
  <si>
    <t xml:space="preserve">10.1021/acsestengg.6c00343</t>
  </si>
  <si>
    <t xml:space="preserve">Drinking water distribution system softening - municipal, transferable only</t>
  </si>
  <si>
    <t xml:space="preserve">U044</t>
  </si>
  <si>
    <t xml:space="preserve">Lu A.Y.-T.; Yue Z.D.</t>
  </si>
  <si>
    <t xml:space="preserve">A Development and Field Deployment of Novel Iron Sulfide Prevention Package</t>
  </si>
  <si>
    <t xml:space="preserve">10.2118/224303-MS</t>
  </si>
  <si>
    <t xml:space="preserve">Iron sulfide scale prevention package, oil field, field deployment</t>
  </si>
  <si>
    <t xml:space="preserve">U045</t>
  </si>
  <si>
    <t xml:space="preserve">Nichols D.A.; Fyfe A.A.; Stiven S.; Jordan M.M.</t>
  </si>
  <si>
    <t xml:space="preserve">A Field Case Study Validating the Use of a Kinetic Scaling Risk Model to Predict the Metastability of Barium Sulfate</t>
  </si>
  <si>
    <t xml:space="preserve">10.2118/224255-MS</t>
  </si>
  <si>
    <t xml:space="preserve">Kinetic scaling risk model BaSO4, field case, oil wells</t>
  </si>
  <si>
    <t xml:space="preserve">U046</t>
  </si>
  <si>
    <t xml:space="preserve">Shen D.; Chao K.-P.; Russek J.</t>
  </si>
  <si>
    <t xml:space="preserve">A Novel Testing Method to Perform Static Scale Inhibition Test at High Temperatures Under Anaerobic Conditions with Well-Maintained Testing pH</t>
  </si>
  <si>
    <t xml:space="preserve">10.2118/224246-MS</t>
  </si>
  <si>
    <t xml:space="preserve">Static scale inhibition testing method, oil and gas production system</t>
  </si>
  <si>
    <t xml:space="preserve">U047</t>
  </si>
  <si>
    <t xml:space="preserve">Solid particles impact on scaling/inhibition, oilfield water</t>
  </si>
  <si>
    <t xml:space="preserve">U048</t>
  </si>
  <si>
    <t xml:space="preserve">Ismail H.R.; Zebari G.M.; Ibrahim I.M.; Al-Zebari A.</t>
  </si>
  <si>
    <t xml:space="preserve">A multi-task learning framework for soil fertility assessment and nutrient prediction using machine learning</t>
  </si>
  <si>
    <t xml:space="preserve">Modeling Earth Systems and Environment</t>
  </si>
  <si>
    <t xml:space="preserve">10.1007/s40808-025-02647-x</t>
  </si>
  <si>
    <t xml:space="preserve">Soil fertility ML classification - unrelated domain</t>
  </si>
  <si>
    <t xml:space="preserve">U049</t>
  </si>
  <si>
    <t xml:space="preserve">Advanced scale removal non-injective well, jetting tools chelating chemistry</t>
  </si>
  <si>
    <t xml:space="preserve">U050</t>
  </si>
  <si>
    <t xml:space="preserve">Kalantari Meybodi M.; Sorbie K.S.; Vazquez O.; Mackay E.J.</t>
  </si>
  <si>
    <t xml:space="preserve">An integrated model of scale inhibitor (DETPMP) transport, coupled adsorption/precipitation (Γ/Π) and reaction in carbonate systems</t>
  </si>
  <si>
    <t xml:space="preserve">Advances in Water Resources</t>
  </si>
  <si>
    <t xml:space="preserve">10.1016/j.advwatres.2025.105042</t>
  </si>
  <si>
    <t xml:space="preserve">Scale inhibitor transport/adsorption model, carbonate systems, squeeze treatment</t>
  </si>
  <si>
    <t xml:space="preserve">U051</t>
  </si>
  <si>
    <t xml:space="preserve">Khormali A.; Ahmadi S.; Aleksandrov A.N.</t>
  </si>
  <si>
    <t xml:space="preserve">Reservoir rock permeability change from solid precipitation waterflooding, ANN</t>
  </si>
  <si>
    <t xml:space="preserve">U052</t>
  </si>
  <si>
    <t xml:space="preserve">Balanced Phosphonated Polyethylenimine-Citrate-Functionalized Superparamagnetic Nanoparticles for Efficient Scale Inhibition in a Harsh Brine Environment</t>
  </si>
  <si>
    <t xml:space="preserve">10.1021/acs.energyfuels.5c01138</t>
  </si>
  <si>
    <t xml:space="preserve">Phosphonated nanoparticle scale inhibition, explicit oil and gas industry</t>
  </si>
  <si>
    <t xml:space="preserve">U053</t>
  </si>
  <si>
    <t xml:space="preserve">Branched Phosphonated Polyetheramine-Coated Magnetic Nanoparticles for Enhanced Oilfield Scale Management</t>
  </si>
  <si>
    <t xml:space="preserve">ACS Applied Polymer Materials</t>
  </si>
  <si>
    <t xml:space="preserve">10.1021/acsapm.5c02130</t>
  </si>
  <si>
    <t xml:space="preserve">Branched phosphonated polyetheramine nanoparticles, oilfield scale management</t>
  </si>
  <si>
    <t xml:space="preserve">U054</t>
  </si>
  <si>
    <t xml:space="preserve">Well log + thermodynamic modeling mineral precipitation wellbore, flow assurance</t>
  </si>
  <si>
    <t xml:space="preserve">U055</t>
  </si>
  <si>
    <t xml:space="preserve">Benaouda A.; Al Selaiti I.; Al Azeezi K.; Alriyami S.; Al Shamsi A.; Pacis F.; Hutchison C.; Casolo S.</t>
  </si>
  <si>
    <t xml:space="preserve">Development of a Machine Learning Driven Solution to Manage Sulphate Scaling in a Giant Field, Offshore Abu Dhabi</t>
  </si>
  <si>
    <t xml:space="preserve">10.2118/230120-MS</t>
  </si>
  <si>
    <t xml:space="preserve">ML solution sulphate scaling, giant field offshore Abu Dhabi</t>
  </si>
  <si>
    <t xml:space="preserve">U056</t>
  </si>
  <si>
    <t xml:space="preserve">ML models predicting sulfide scale deposition, oil production wells</t>
  </si>
  <si>
    <t xml:space="preserve">U057</t>
  </si>
  <si>
    <t xml:space="preserve">Inorganic scales water injection performance, Kazakhstan reservoir</t>
  </si>
  <si>
    <t xml:space="preserve">U058</t>
  </si>
  <si>
    <t xml:space="preserve">Tzachristas A.; Kanellopoulou D.; Parthenios J.; Koutsoukos P.G.; Paraskeva C.; Sygouni V.</t>
  </si>
  <si>
    <t xml:space="preserve">Effect of Monoethylene Glycol on the Nucleation and Growth of Calcium Carbonate from Supersaturated Solutions in Microchannels of Varying Wettability</t>
  </si>
  <si>
    <t xml:space="preserve">Langmuir</t>
  </si>
  <si>
    <t xml:space="preserve">10.1021/acs.langmuir.5c01363</t>
  </si>
  <si>
    <t xml:space="preserve">CaCO3 nucleation/growth microchannels - fundamental, multi-industry study</t>
  </si>
  <si>
    <t xml:space="preserve">U059</t>
  </si>
  <si>
    <t xml:space="preserve">Kang X.; Li M.; Cen Z.; Han D.; Tang W.; Gong J.; Wang J.</t>
  </si>
  <si>
    <t xml:space="preserve">Effects of natural inhibitors-modified superhydrophobic coatings on BaSO4 scaling and the associated surface interaction mechanisms</t>
  </si>
  <si>
    <t xml:space="preserve">10.1016/j.surfin.2024.105653</t>
  </si>
  <si>
    <t xml:space="preserve">BaSO4 scaling on superhydrophobic coatings - desalination/oil, mixed-domain</t>
  </si>
  <si>
    <t xml:space="preserve">U060</t>
  </si>
  <si>
    <t xml:space="preserve">Evaluating Scale Inhibitors to Prevent Calcite Deposition Under Turbulent Flow Using a Lab Setup</t>
  </si>
  <si>
    <t xml:space="preserve">10.2118/224309-MS</t>
  </si>
  <si>
    <t xml:space="preserve">Scale inhibitors prevent calcite deposition turbulent flow, oil and gas industry</t>
  </si>
  <si>
    <t xml:space="preserve">U061</t>
  </si>
  <si>
    <t xml:space="preserve">Dual corrosion+scale inhibitor from inulin, oil and gas operations</t>
  </si>
  <si>
    <t xml:space="preserve">U062</t>
  </si>
  <si>
    <t xml:space="preserve">Gorla F.F.L.; Nogueira J.D.D.L.; Santos S.B.D.; Fontes R.A.; Sacorague L.A.; Henrique A.; de Faria R.M.B.; Cristante V.M.; Carneiro C.D.C.; Gouvêa R.C.T.D.; Barros Penteado H.L.D.</t>
  </si>
  <si>
    <t xml:space="preserve">Investigating formation water variability in the Búzios oilfield (Santos Basin) using cluster analysis and hydrogeochemical modeling</t>
  </si>
  <si>
    <t xml:space="preserve">10.1016/j.geoen.2024.213468</t>
  </si>
  <si>
    <t xml:space="preserve">Formation water variability cluster analysis - no explicit scale-formation focus</t>
  </si>
  <si>
    <t xml:space="preserve">U063</t>
  </si>
  <si>
    <t xml:space="preserve">Karami S.; Rezaei A.; Rahmati M.; Motaghi A.; Sepehr M.</t>
  </si>
  <si>
    <t xml:space="preserve">Investigation of bio-based chelating agents to prevent and remove mineral scales caused by mixing of incompatible brine water: An insight into molecular characterization and active forces</t>
  </si>
  <si>
    <t xml:space="preserve">10.1016/j.geoen.2025.213947</t>
  </si>
  <si>
    <t xml:space="preserve">Bio-based chelating agents prevent/remove mineral scales, brine mixing</t>
  </si>
  <si>
    <t xml:space="preserve">U064</t>
  </si>
  <si>
    <t xml:space="preserve">Jarrahian K.; Sorbie K.; Azzudin F.J.; Ness G.</t>
  </si>
  <si>
    <t xml:space="preserve">Modelling Development and Experimental Methodology Design for Iron Sulphide (FeS) Scale Prediction</t>
  </si>
  <si>
    <t xml:space="preserve">Society of Petroleum Engineers - SPE Annual Caspian Technical Conference and Exhibition, CTC 2025</t>
  </si>
  <si>
    <t xml:space="preserve">10.2118/230355-MS</t>
  </si>
  <si>
    <t xml:space="preserve">Iron sulphide FeS scale prediction modeling, oilfield/geothermal systems</t>
  </si>
  <si>
    <t xml:space="preserve">U065</t>
  </si>
  <si>
    <t xml:space="preserve">Maulani S.A.; Hadiana A.I.; Melina</t>
  </si>
  <si>
    <t xml:space="preserve">Multi-Class Soil Fertility Classification Using Random Forest and SMOTE for Precision Agriculture</t>
  </si>
  <si>
    <t xml:space="preserve">International Conference on Information and Communications Technology, ICOIACT</t>
  </si>
  <si>
    <t xml:space="preserve">10.1109/ICOIACT67584.2025.11344942</t>
  </si>
  <si>
    <t xml:space="preserve">Soil fertility classification ML - unrelated</t>
  </si>
  <si>
    <t xml:space="preserve">U066</t>
  </si>
  <si>
    <t xml:space="preserve">Oliveira L.R.; Soares L.C.S., Jr.; Demetino G.G.; Soares L.O.L.; Gomes J.G.C.; da Silva M.V.S.; dos Santos V.S.; Teixeira L.R.; Santos J.M.D.A.; Ferreira V.P.; Pepe I.M.</t>
  </si>
  <si>
    <t xml:space="preserve">New dynamic test rig to study the influence of ultrasound on calcium carbonate scale formation</t>
  </si>
  <si>
    <t xml:space="preserve">10.1016/j.rineng.2025.105280</t>
  </si>
  <si>
    <t xml:space="preserve">Dynamic test rig ultrasound CaCO3 scale formation, oil and gas pipelines</t>
  </si>
  <si>
    <t xml:space="preserve">U067</t>
  </si>
  <si>
    <t xml:space="preserve">Al-Behadili A.M.; Makcay E.J.; Hatscher S.</t>
  </si>
  <si>
    <t xml:space="preserve">Optimization of Injection Brine Composition and Impact of Geochemical Reactivity in Reducing Mineral Scaling Risk During Seawater Flooding</t>
  </si>
  <si>
    <t xml:space="preserve">Society of Petroleum Engineers - SPE Europe Energy Conference and Exhibition, EURO 2025</t>
  </si>
  <si>
    <t xml:space="preserve">10.2118/225529-MS</t>
  </si>
  <si>
    <t xml:space="preserve">Injection brine composition mineral scaling risk, seawater flooding oilfield</t>
  </si>
  <si>
    <t xml:space="preserve">U068</t>
  </si>
  <si>
    <t xml:space="preserve">Andersson M.P.; Lardhi S.; Abdel-Azeim S.</t>
  </si>
  <si>
    <t xml:space="preserve">Organic Molecule Adsorption on Barite (001)─A Density Functional Theory Study</t>
  </si>
  <si>
    <t xml:space="preserve">10.1021/acs.langmuir.4c05052</t>
  </si>
  <si>
    <t xml:space="preserve">DFT organic molecule adsorption on barite - fundamental chemistry study</t>
  </si>
  <si>
    <t xml:space="preserve">U069</t>
  </si>
  <si>
    <t xml:space="preserve">PHREEQC-ML predicting scaling indices, Permian Basin produced waters</t>
  </si>
  <si>
    <t xml:space="preserve">U070</t>
  </si>
  <si>
    <t xml:space="preserve">Victor-Oji C.O.; Una D.; Joseph A.; Appah D.; Akaranta O.</t>
  </si>
  <si>
    <t xml:space="preserve">Performance evaluation of glutaraldehyde-modified red onion skin extract as oilfield scale inhibitors</t>
  </si>
  <si>
    <t xml:space="preserve">10.1080/10916466.2024.2350562</t>
  </si>
  <si>
    <t xml:space="preserve">Glutaraldehyde red onion skin extract oilfield scale inhibitor</t>
  </si>
  <si>
    <t xml:space="preserve">U071</t>
  </si>
  <si>
    <t xml:space="preserve">Barros H.N.S.; Pereira K.A.B.; Oliveira M.V.; Rocha L.A.B.; Palermo L.C.M.; Mansur C.R.E.</t>
  </si>
  <si>
    <t xml:space="preserve">Performance of Carboxymethyl Starch and Chitosan as Green Scale Inhibitors for Calcite and Gypsum Precipitation</t>
  </si>
  <si>
    <t xml:space="preserve">ChemistrySelect</t>
  </si>
  <si>
    <t xml:space="preserve">10.1002/slct.202500123</t>
  </si>
  <si>
    <t xml:space="preserve">Carboxymethyl starch/chitosan green scale inhibitors, oil industry</t>
  </si>
  <si>
    <t xml:space="preserve">U072</t>
  </si>
  <si>
    <t xml:space="preserve">Al-Salal M.; Al-Mass S.; Al-Abbasi K.; Kakade S.; Boareki N.; Al-Rashedi H.; Dashti B.; Karadi N.; Munck D.; Madsen T.; Lydersen M.</t>
  </si>
  <si>
    <t xml:space="preserve">Pioneering Advanced Ceramic Water Filtration Compact Skids for Efficient Water Injection in Tight Reservoirs: A Successful Pilot in Abduliyah Field</t>
  </si>
  <si>
    <t xml:space="preserve">10.2118/230135-MS</t>
  </si>
  <si>
    <t xml:space="preserve">Ceramic water filtration skids for water injection - filtration tech, not scale focus</t>
  </si>
  <si>
    <t xml:space="preserve">U073</t>
  </si>
  <si>
    <t xml:space="preserve">Johnson A.; Mroczek E.; Akerley J.; Webbison S.</t>
  </si>
  <si>
    <t xml:space="preserve">Predicting Calcite Scale in the Geothermal Industry: Recent Insights and Application to Single and Two-Phase Fluid Modeling at Two Ormat Facilities</t>
  </si>
  <si>
    <t xml:space="preserve">Transactions - Geothermal Resources Council</t>
  </si>
  <si>
    <t xml:space="preserve">Calcite scale prediction, geothermal industry (Ormat) - adjacent industry</t>
  </si>
  <si>
    <t xml:space="preserve">U074</t>
  </si>
  <si>
    <t xml:space="preserve">Hu Z.; Luo X.</t>
  </si>
  <si>
    <t xml:space="preserve">Prediction of Calcite Induction Time Using Machine Learning</t>
  </si>
  <si>
    <t xml:space="preserve">2025 7th International Conference on Frontier Technologies of Information and Computer, ICFTIC 2025</t>
  </si>
  <si>
    <t xml:space="preserve">10.1109/ICFTIC68075.2025.11324549</t>
  </si>
  <si>
    <t xml:space="preserve">ML prediction of calcite induction time, inhibitor dosing optimization</t>
  </si>
  <si>
    <t xml:space="preserve">U075</t>
  </si>
  <si>
    <t xml:space="preserve">ML permeability impairment from scale deposition, waterflooding, oil and gas</t>
  </si>
  <si>
    <t xml:space="preserve">U076</t>
  </si>
  <si>
    <t xml:space="preserve">AI barite scale formation/inhibition, hydrocarbon reservoirs waterflooding</t>
  </si>
  <si>
    <t xml:space="preserve">U077</t>
  </si>
  <si>
    <t xml:space="preserve">Candra A.D.; Agin L.F.P.; Wicaksono W.P.A.</t>
  </si>
  <si>
    <t xml:space="preserve">Quantitative Assessment of Calcite Scaling of a Vapour-Dominated Well</t>
  </si>
  <si>
    <t xml:space="preserve">Scientific Contributions Oil and Gas</t>
  </si>
  <si>
    <t xml:space="preserve">10.29017/scog.v48i4.1861</t>
  </si>
  <si>
    <t xml:space="preserve">Calcite scaling, vapour-dominated geothermal well - adjacent industry</t>
  </si>
  <si>
    <t xml:space="preserve">U078</t>
  </si>
  <si>
    <t xml:space="preserve">Ness G.; Spica C.; Petteruti E.; Cavaioni P.</t>
  </si>
  <si>
    <t xml:space="preserve">Root Cause Analysis of Calcite Scale Deposition in Gas Wells Using Rigorous Scale Predictions and Kinetics of Scale Formation</t>
  </si>
  <si>
    <t xml:space="preserve">10.2118/224269-MS</t>
  </si>
  <si>
    <t xml:space="preserve">Calcite scale deposition root-cause+kinetics, Algerian gas field</t>
  </si>
  <si>
    <t xml:space="preserve">U079</t>
  </si>
  <si>
    <t xml:space="preserve">Zhang B.; Zhang X.; Zhang L.; Ali S.I.; Tariq S.M.</t>
  </si>
  <si>
    <t xml:space="preserve">Scale precipitation modeling in the presence of scale inhibitors using MSE–SRK model</t>
  </si>
  <si>
    <t xml:space="preserve">Chemical Papers</t>
  </si>
  <si>
    <t xml:space="preserve">10.1007/s11696-025-04264-5</t>
  </si>
  <si>
    <t xml:space="preserve">Scale precipitation modeling with inhibitors, MSE-SRK, oilfield flow-assurance software</t>
  </si>
  <si>
    <t xml:space="preserve">U080</t>
  </si>
  <si>
    <t xml:space="preserve">Ferreira F.A.V.; Dantas E.D.; Penha V.C.; Andrade D.C.; Pereira L.; Chiavone-Filho O.</t>
  </si>
  <si>
    <t xml:space="preserve">Solubility of Calcium Carbonate in Aqueous Monoethylene Glycol Mixtures under a Carbon Dioxide Atmosphere Using an Analytical Method</t>
  </si>
  <si>
    <t xml:space="preserve">Journal of Chemical and Engineering Data</t>
  </si>
  <si>
    <t xml:space="preserve">10.1021/acs.jced.4c00670</t>
  </si>
  <si>
    <t xml:space="preserve">CaCO3 solubility in MEG/CO2, explicit pipeline scaling in gas production</t>
  </si>
  <si>
    <t xml:space="preserve">U081</t>
  </si>
  <si>
    <t xml:space="preserve">Ultrasonic+chemical dissolvers CaSO4 scale dissolution, oilfields, explicit</t>
  </si>
  <si>
    <t xml:space="preserve">U082</t>
  </si>
  <si>
    <t xml:space="preserve">Abbasi P.; Madani M.; Abbasi S.</t>
  </si>
  <si>
    <t xml:space="preserve">Treatment of water disposal injection process by oilfield chemicals: Maintaining injectivity and environmental effects</t>
  </si>
  <si>
    <t xml:space="preserve">10.1016/j.ptlrs.2025.04.007</t>
  </si>
  <si>
    <t xml:space="preserve">Water disposal injection, mineral scale formation impact on injectivity, oilfield</t>
  </si>
  <si>
    <t xml:space="preserve">U083</t>
  </si>
  <si>
    <t xml:space="preserve">Huang H.; Chen X.; Wu Q.; Zhao Z.; Yu X.; Chen H.</t>
  </si>
  <si>
    <t xml:space="preserve">p-Band Center as the Key Descriptor: Coordination Engineering of Single-Atom Catalysts for Optimized Oxygen Electrocatalysis</t>
  </si>
  <si>
    <t xml:space="preserve">10.1021/acs.iecr.5c03392</t>
  </si>
  <si>
    <t xml:space="preserve">Single-atom catalyst DFT for oxygen electrocatalysis - unrelated, false positive</t>
  </si>
  <si>
    <t xml:space="preserve">U084</t>
  </si>
  <si>
    <t xml:space="preserve">Kalantari Meybodi M.; Sorbie K.S.; Vazquez O.; Mackay E.J.; Jarrahian K.; Igder M.</t>
  </si>
  <si>
    <t xml:space="preserve">A comprehensive equilibrium model for the phosphonate scale inhibitor-carbonate system including coupled adsorption/precipitation (Γ/Π)</t>
  </si>
  <si>
    <t xml:space="preserve">10.1016/j.colsurfa.2024.133535</t>
  </si>
  <si>
    <t xml:space="preserve">Phosphonate SI-carbonate equilibrium model, hydrocarbon production explicit</t>
  </si>
  <si>
    <t xml:space="preserve">U085</t>
  </si>
  <si>
    <t xml:space="preserve">Xiao J.; Luo Y.; Yao Q.; Wu J.; Lyu S.; Luo Z.</t>
  </si>
  <si>
    <t xml:space="preserve">A self-cleaning coating on copper for inhibiting calcium carbonate crystallization and scaling</t>
  </si>
  <si>
    <t xml:space="preserve">Surface and Coatings Technology</t>
  </si>
  <si>
    <t xml:space="preserve">10.1016/j.surfcoat.2024.131056</t>
  </si>
  <si>
    <t xml:space="preserve">Self-cleaning coating CaCO3 inhibition, petrochemical pipelines explicit</t>
  </si>
  <si>
    <t xml:space="preserve">U086</t>
  </si>
  <si>
    <t xml:space="preserve">Gusmao P.B.; Mackay E.J.; Sorbie K.S.</t>
  </si>
  <si>
    <t xml:space="preserve">An Improved Reservoir Understanding of the Impact of Initial Oil Composition and Residual Oil Saturation on Brine Composition and Calcite Scaling During CO2 - WAG EOR in Carbonate Reservoirs</t>
  </si>
  <si>
    <t xml:space="preserve">Proceedings - SPE Symposium on Improved Oil Recovery</t>
  </si>
  <si>
    <t xml:space="preserve">10.2118/218202-MS</t>
  </si>
  <si>
    <t xml:space="preserve">CO2-WAG EOR calcite scaling, carbonate reservoirs, reactive transport modeling</t>
  </si>
  <si>
    <t xml:space="preserve">U087</t>
  </si>
  <si>
    <t xml:space="preserve">Koshani R.; Yeh S.-L.; Pitcher M.L.; Sheikhi A.</t>
  </si>
  <si>
    <t xml:space="preserve">Antiscaling Pickering Emulsions Enabled by Amphiphilic Hairy Cellulose Nanocrystals</t>
  </si>
  <si>
    <t xml:space="preserve">ACS Applied Materials and Interfaces</t>
  </si>
  <si>
    <t xml:space="preserve">10.1021/acsami.4c03451</t>
  </si>
  <si>
    <t xml:space="preserve">Antiscaling Pickering emulsions, EOR crude oil extraction, CaCO3 scaling explicit</t>
  </si>
  <si>
    <t xml:space="preserve">U088</t>
  </si>
  <si>
    <t xml:space="preserve">Gilmer C.; Sutherland L.; Jordan M.; Lee J.</t>
  </si>
  <si>
    <t xml:space="preserve">Beyond Windows: Glass Solid Scale Inhibitors with Controlled Release at Elevated Temperatures for Extended Carbonate Scale Protection in the Laboratory and Field</t>
  </si>
  <si>
    <t xml:space="preserve">10.2118/218701-MS</t>
  </si>
  <si>
    <t xml:space="preserve">Glass solid scale inhibitors, gas condensate fields, carbonate scale lab+field</t>
  </si>
  <si>
    <t xml:space="preserve">U089</t>
  </si>
  <si>
    <t xml:space="preserve">Neubauer T.M.; Poletto V.G.; Mazuroski M.E.; De Lai F.C.; Junqueira S.L.M.; Castro B.B.; Martins A.L.</t>
  </si>
  <si>
    <t xml:space="preserve">Calcium Carbonate Risk Index Assessment for Smart Completion Systems Employing Thermodynamic and Kinetic Precipitation Rates</t>
  </si>
  <si>
    <t xml:space="preserve">SPE Annual Technical Conference Proceedings</t>
  </si>
  <si>
    <t xml:space="preserve">10.2118/221050-MS</t>
  </si>
  <si>
    <t xml:space="preserve">CaCO3 risk index smart completion systems, thermodynamic+kinetic, oil industry</t>
  </si>
  <si>
    <t xml:space="preserve">U090</t>
  </si>
  <si>
    <t xml:space="preserve">Proceedings - SPE Annual Technical Conference and Exhibition</t>
  </si>
  <si>
    <t xml:space="preserve">Duplicate of U089 (same title/abstract) - same tag</t>
  </si>
  <si>
    <t xml:space="preserve">U091</t>
  </si>
  <si>
    <t xml:space="preserve">Albaiz A.; Almubarak T.; Alissa F.; Owais A.; Aljeaban N.</t>
  </si>
  <si>
    <t xml:space="preserve">Calcium Sulfate Scale Inhibitor: Does the Carbon Backbone Length Matter?</t>
  </si>
  <si>
    <t xml:space="preserve">International Petroleum Technology Conference, IPTC 2024</t>
  </si>
  <si>
    <t xml:space="preserve">10.2523/IPTC-23506-EA</t>
  </si>
  <si>
    <t xml:space="preserve">CaSO4 scale inhibitor structure-activity, oil and gas industry explicit</t>
  </si>
  <si>
    <t xml:space="preserve">U092</t>
  </si>
  <si>
    <t xml:space="preserve">Lu H.; Wei W.; Wang W.; Yan C.; Young R.; Nix D.</t>
  </si>
  <si>
    <t xml:space="preserve">Case Histories of Permian Area Scale Treatment Challenges and Chemical Program Optimization Strategies</t>
  </si>
  <si>
    <t xml:space="preserve">AMPP Annual Conference and Expo 2024</t>
  </si>
  <si>
    <t xml:space="preserve">Permian scale treatment case histories, chemical program optimization</t>
  </si>
  <si>
    <t xml:space="preserve">U093</t>
  </si>
  <si>
    <t xml:space="preserve">Al Hinai M.I.; Al-Yaaribi A.; Al Qassabi H.A.; Al Aamri G.; Al-Hinai N.; Al Saadi F.; Abdullah I.B.; Al Zadjali A.</t>
  </si>
  <si>
    <t xml:space="preserve">Case Study Southern Oil Field Oman: Novel Approach in Optimizing Dispersed Acid System for Matrix Stimulation in Water Injectors to Improve Injectivity</t>
  </si>
  <si>
    <t xml:space="preserve">Society of Petroleum Engineers - SPE Symposium and Exhibition - Production Enhancement and Cost Optimisation, SM02 2024</t>
  </si>
  <si>
    <t xml:space="preserve">10.2118/220635-MS</t>
  </si>
  <si>
    <t xml:space="preserve">Dispersed acid system water injectors Oman, scale/damage injectivity</t>
  </si>
  <si>
    <t xml:space="preserve">U094</t>
  </si>
  <si>
    <t xml:space="preserve">Amin S.; Kazama S.; Sawangjang B.; Takizawa S.</t>
  </si>
  <si>
    <t xml:space="preserve">Causes and Effects of Scale Deposition in Water Supply Pipelines in Surakarta City, Indonesia</t>
  </si>
  <si>
    <t xml:space="preserve">Water (Switzerland)</t>
  </si>
  <si>
    <t xml:space="preserve">10.3390/w16162275</t>
  </si>
  <si>
    <t xml:space="preserve">Water supply pipelines Surakarta Indonesia scale deposition - municipal, not oilfield</t>
  </si>
  <si>
    <t xml:space="preserve">U095</t>
  </si>
  <si>
    <t xml:space="preserve">Wang L.-C.; Che Y.; Zhu Y.-R.; Guo S.-L.; Ma W.; Zhao Q.-L.; Li G.; Wang L.-B.</t>
  </si>
  <si>
    <t xml:space="preserve">Comparative study of a low phosphorous co-polymer inhibitor with commercial scale inhibitors used in cooling water systems</t>
  </si>
  <si>
    <t xml:space="preserve">Journal of Applied Polymer Science</t>
  </si>
  <si>
    <t xml:space="preserve">10.1002/app.55145</t>
  </si>
  <si>
    <t xml:space="preserve">Low-phosphorus copolymer inhibitor cooling water systems - industrial, not oilfield</t>
  </si>
  <si>
    <t xml:space="preserve">U096</t>
  </si>
  <si>
    <t xml:space="preserve">Hosseini E.; Mohammad Nazar D.; Hosseini N.; Sarmadivaleh M.</t>
  </si>
  <si>
    <t xml:space="preserve">Developing a phenomenological model to simulate single and mixed scale formation during flow in porous media: Coupling a salt precipitation model with an ion transport equation under dynamic conditions</t>
  </si>
  <si>
    <t xml:space="preserve">10.1016/j.ptlrs.2023.09.003</t>
  </si>
  <si>
    <t xml:space="preserve">Phenomenological salt precipitation model, porous media waterflooding, petroleum</t>
  </si>
  <si>
    <t xml:space="preserve">U097</t>
  </si>
  <si>
    <t xml:space="preserve">Paudyal S.; Fan C.</t>
  </si>
  <si>
    <t xml:space="preserve">Development of Inorganic Scale Inhibitors for Ultrahigh-Temperatures Geothermal and HPHT Applications</t>
  </si>
  <si>
    <t xml:space="preserve">Inorganic SI ultrahigh-temp geothermal AND HPHT oil/gas applications, explicit</t>
  </si>
  <si>
    <t xml:space="preserve">U098</t>
  </si>
  <si>
    <t xml:space="preserve">Meybodi M.K.; Vazquez O.; Sorbie K.S.; Mackay E.J.; Jarrahian K.</t>
  </si>
  <si>
    <t xml:space="preserve">Equilibrium Modelling of Interactions in DETPMP-Carbonate System</t>
  </si>
  <si>
    <t xml:space="preserve">10.2118/218704-MS</t>
  </si>
  <si>
    <t xml:space="preserve">DETPMP-carbonate equilibrium modeling, SI squeeze treatments oil and gas</t>
  </si>
  <si>
    <t xml:space="preserve">U099</t>
  </si>
  <si>
    <t xml:space="preserve">Oliveira J.; Ortiz R.W.P.; Passos N.S.; Venancio F.; Gonçalves V.O.O.; Cajaiba J.; Ribeiro-Santos R.; Perrone D.; Kartnaller V.</t>
  </si>
  <si>
    <t xml:space="preserve">Evaluating starchy food effluents as potential green inhibitors of calcium carbonate scale in oil and gas production</t>
  </si>
  <si>
    <t xml:space="preserve">10.1007/s43153-023-00404-0</t>
  </si>
  <si>
    <t xml:space="preserve">Starchy food effluent green CaCO3 scale inhibitors, oil and gas production</t>
  </si>
  <si>
    <t xml:space="preserve">U100</t>
  </si>
  <si>
    <t xml:space="preserve">Fan C.; Aloke O.; Nelson A.C.; Temple E.</t>
  </si>
  <si>
    <t xml:space="preserve">Evaluation of Scale Dissolver Products for Near-Wellbore Applications</t>
  </si>
  <si>
    <t xml:space="preserve">10.2118/218733-MS</t>
  </si>
  <si>
    <t xml:space="preserve">Scale dissolver products near-wellbore, flowlines/tubing/wellbore explicit</t>
  </si>
  <si>
    <t xml:space="preserve">U101</t>
  </si>
  <si>
    <t xml:space="preserve">Factors impacting barite scale, water injection operations, oilfield explicit</t>
  </si>
  <si>
    <t xml:space="preserve">U102</t>
  </si>
  <si>
    <t xml:space="preserve">Kamaratou M.; Spinthaki A.; Disci D.; Demadis K.D.</t>
  </si>
  <si>
    <t xml:space="preserve">Ferric silicate precipitates relevant to geothermal systems: Delineation of their complex formation</t>
  </si>
  <si>
    <t xml:space="preserve">Geothermics</t>
  </si>
  <si>
    <t xml:space="preserve">10.1016/j.geothermics.2024.103118</t>
  </si>
  <si>
    <t xml:space="preserve">Ferric silicate precipitates in geothermal systems - adjacent industry</t>
  </si>
  <si>
    <t xml:space="preserve">U103</t>
  </si>
  <si>
    <t xml:space="preserve">Lu A.Y.-T.; Yue Z.</t>
  </si>
  <si>
    <t xml:space="preserve">Field Case Study: Impact of Corrosion Inhibitor on Scale Control</t>
  </si>
  <si>
    <t xml:space="preserve">Corrosion inhibitor impact on scale control, Permian Basin field case</t>
  </si>
  <si>
    <t xml:space="preserve">U104</t>
  </si>
  <si>
    <t xml:space="preserve">Co N.E.C.; Hugaas B.-A.; Krishnamurthy R.M.; Fredriksen R.M.; George K.; Hjelle S.O.</t>
  </si>
  <si>
    <t xml:space="preserve">H2S, CO2 and High Chloride Downhole Environment Modelling and Fitness for Purpose Testing of UNS S39274, UNS N08535 and UNS N06255 Corrosion Resistant Alloys</t>
  </si>
  <si>
    <t xml:space="preserve">Corrosion-resistant alloy testing H2S/CO2/chloride - metallurgy, not scale formation</t>
  </si>
  <si>
    <t xml:space="preserve">U105</t>
  </si>
  <si>
    <t xml:space="preserve">Barite scale prediction HTHP high calcium, oil and gas industry explicit</t>
  </si>
  <si>
    <t xml:space="preserve">U106</t>
  </si>
  <si>
    <t xml:space="preserve">Baraka-Lokmane S.; de Sousa A.M.</t>
  </si>
  <si>
    <t xml:space="preserve">Impact of Methanol on the Scale Deposition - a Case Study from West Africa</t>
  </si>
  <si>
    <t xml:space="preserve">10.2118/222746-MS</t>
  </si>
  <si>
    <t xml:space="preserve">Methanol impact on scale deposition, West Africa field case, explicit</t>
  </si>
  <si>
    <t xml:space="preserve">U107</t>
  </si>
  <si>
    <t xml:space="preserve">Chen H.; Zhu S.S.</t>
  </si>
  <si>
    <t xml:space="preserve">Improving Saline Aquifer Caprock Integrity in CO2 Geosequestration Using Waste Plastics</t>
  </si>
  <si>
    <t xml:space="preserve">10.2118/220803-MS</t>
  </si>
  <si>
    <t xml:space="preserve">CO2 geosequestration caprock integrity via waste plastics - seal integrity, not scale mgmt</t>
  </si>
  <si>
    <t xml:space="preserve">U108</t>
  </si>
  <si>
    <t xml:space="preserve">Chen H.; Sherry Zhu S.</t>
  </si>
  <si>
    <t xml:space="preserve">Duplicate of U107 - same tag</t>
  </si>
  <si>
    <t xml:space="preserve">U109</t>
  </si>
  <si>
    <t xml:space="preserve">Wang M.; Zuo X.; Jacovone R.M.S.; O'Hara R.; Mondal A.N.; Asatekin A.; Rodrigues D.F.</t>
  </si>
  <si>
    <t xml:space="preserve">Influence of zwitterionic amphiphilic copolymers on heterogeneous gypsum formation: A promising approach for scaling resistance</t>
  </si>
  <si>
    <t xml:space="preserve">Water Research</t>
  </si>
  <si>
    <t xml:space="preserve">10.1016/j.watres.2024.122439</t>
  </si>
  <si>
    <t xml:space="preserve">Zwitterionic copolymers gypsum formation - multi-industry fundamental study</t>
  </si>
  <si>
    <t xml:space="preserve">U110</t>
  </si>
  <si>
    <t xml:space="preserve">Wang Q.; Chen T.</t>
  </si>
  <si>
    <t xml:space="preserve">Inhibition of calcium carbonate scale under severe conditions</t>
  </si>
  <si>
    <t xml:space="preserve">10.1080/10916466.2022.2158199</t>
  </si>
  <si>
    <t xml:space="preserve">CaCO3 scale inhibition severe conditions, dynamic scale loop tests (oilfield method)</t>
  </si>
  <si>
    <t xml:space="preserve">U111</t>
  </si>
  <si>
    <t xml:space="preserve">Murtaza M.; Budiman O.; Kamal M.S.; Alajmi S.N.; Al-Jawad M.; Mahmoud M.</t>
  </si>
  <si>
    <t xml:space="preserve">Ionic Liquid-Based Formulation for Inhibiting Calcium Sulfate Scale in High-Pressure High-Temperature Wells</t>
  </si>
  <si>
    <t xml:space="preserve">10.2118/222368-MS</t>
  </si>
  <si>
    <t xml:space="preserve">Ionic liquid CaSO4 scale inhibition HPHT wells, oil and gas operations explicit</t>
  </si>
  <si>
    <t xml:space="preserve">U112</t>
  </si>
  <si>
    <t xml:space="preserve">Jarrahian K.; Sorbie K.S.; Azuddin F.J.; Ness G.</t>
  </si>
  <si>
    <t xml:space="preserve">Iron Sulphide (FeS) Scale Prediction-Modelling Development and Experimental Methodology Design</t>
  </si>
  <si>
    <t xml:space="preserve">10.2118/217871-MS</t>
  </si>
  <si>
    <t xml:space="preserve">FeS scale prediction modeling, oilfield/geothermal systems explicit</t>
  </si>
  <si>
    <t xml:space="preserve">U113</t>
  </si>
  <si>
    <t xml:space="preserve">Al-Behadili A.M.; Mackay E.J.</t>
  </si>
  <si>
    <t xml:space="preserve">Kinetics of In-Situ Calcium Magnesium Carbonate Precipitation and the Need for Desulfation in Seawater-Flooded Carbonate Reservoirs</t>
  </si>
  <si>
    <t xml:space="preserve">10.2118/221486-PA</t>
  </si>
  <si>
    <t xml:space="preserve">CaMg carbonate precipitation kinetics, seawater-flooded carbonate reservoirs</t>
  </si>
  <si>
    <t xml:space="preserve">U114</t>
  </si>
  <si>
    <t xml:space="preserve">Al-Behadili A.M.; Makcay E.J.</t>
  </si>
  <si>
    <t xml:space="preserve">Kinetics of in Situ Calcium Magnesium Carbonate Precipitation and the Need for De-Sulphation in Seawater Flooded Carbonate Reservoirs</t>
  </si>
  <si>
    <t xml:space="preserve">10.2118/217879-MS</t>
  </si>
  <si>
    <t xml:space="preserve">Near-duplicate of U113 (different capitalization) - same tag</t>
  </si>
  <si>
    <t xml:space="preserve">U115</t>
  </si>
  <si>
    <t xml:space="preserve">Chen S.; Aljeaban N.A.; Chen T.; Huang T.</t>
  </si>
  <si>
    <t xml:space="preserve">Laboratory Synthesis and Evaluation of Phosphorous-Tagged Polymeric Scale Inhibitors</t>
  </si>
  <si>
    <t xml:space="preserve">Society of Petroleum Engineers - SPE Conference at Oman Petroleum and Energy Show, OPES 2024</t>
  </si>
  <si>
    <t xml:space="preserve">10.2118/218604-MS</t>
  </si>
  <si>
    <t xml:space="preserve">Phosphorous-tagged polymeric scale inhibitors, calcium scale in brines, oilfield</t>
  </si>
  <si>
    <t xml:space="preserve">U116</t>
  </si>
  <si>
    <t xml:space="preserve">Methodology evaluate calcite SI under turbulent flow, subsea oilfield production</t>
  </si>
  <si>
    <t xml:space="preserve">U117</t>
  </si>
  <si>
    <t xml:space="preserve">Qiu Y.; Zhang T.; Zhang P.</t>
  </si>
  <si>
    <t xml:space="preserve">Micro/nano plastics inhibit the formation of barium sulfate scale on metal surface</t>
  </si>
  <si>
    <t xml:space="preserve">Journal of Hazardous Materials</t>
  </si>
  <si>
    <t xml:space="preserve">10.1016/j.jhazmat.2024.136151</t>
  </si>
  <si>
    <t xml:space="preserve">Micro/nanoplastics inhibit BaSO4 scale on metal - general industrial, not oilfield-specific</t>
  </si>
  <si>
    <t xml:space="preserve">U118</t>
  </si>
  <si>
    <t xml:space="preserve">Yue Z.D.; Wang Q.; Chen T.; Ghamdi T.; Alex Lu Y.-T.; Ariyaratna A.</t>
  </si>
  <si>
    <t xml:space="preserve">Optimizing Scale Inhibitor Squeeze Performance for Chalk Reservoirs: Concept, Validation, to Treatment Design</t>
  </si>
  <si>
    <t xml:space="preserve">10.2118/218746-MS</t>
  </si>
  <si>
    <t xml:space="preserve">SI squeeze performance chalk reservoirs, calcite scale downhole/surface, explicit</t>
  </si>
  <si>
    <t xml:space="preserve">U119</t>
  </si>
  <si>
    <t xml:space="preserve">Phosphonated nanoparticle SI performance CaCO3/BaSO4, oil and gas industry</t>
  </si>
  <si>
    <t xml:space="preserve">U120</t>
  </si>
  <si>
    <t xml:space="preserve">ANN predicting barium/strontium sulfate scale deposits, oil production wells</t>
  </si>
  <si>
    <t xml:space="preserve">U121</t>
  </si>
  <si>
    <t xml:space="preserve">ML predicting scale deposition oil reservoirs, permeability reduction, explicit</t>
  </si>
  <si>
    <t xml:space="preserve">U122</t>
  </si>
  <si>
    <t xml:space="preserve">Cao Z.; Hu Y.; Zhang P.</t>
  </si>
  <si>
    <t xml:space="preserve">Predicting sulfate mineral scale solubility with machine learning</t>
  </si>
  <si>
    <t xml:space="preserve">10.1016/j.jclepro.2024.142655</t>
  </si>
  <si>
    <t xml:space="preserve">ML predicting sulfate mineral scale solubility, oilfield operations explicit</t>
  </si>
  <si>
    <t xml:space="preserve">U123</t>
  </si>
  <si>
    <t xml:space="preserve">Cao B.; Ma Y.; Liu M.; Li S.; Tian H.; Feng G.</t>
  </si>
  <si>
    <t xml:space="preserve">Predictions of locations of flash point and calcite scaling of geothermal fluids in wellbore by chemical and thermodynamic simulations</t>
  </si>
  <si>
    <t xml:space="preserve">10.1016/j.geothermics.2024.103057</t>
  </si>
  <si>
    <t xml:space="preserve">Calcite scaling geothermal wellbore chemical/thermodynamic simulation - geothermal</t>
  </si>
  <si>
    <t xml:space="preserve">U124</t>
  </si>
  <si>
    <t xml:space="preserve">Obuebite A.; Okwonna O.O.</t>
  </si>
  <si>
    <t xml:space="preserve">Preliminary Assessment of Terminalia Mantaly Gum Exudate as a GreenScale Inhibitor</t>
  </si>
  <si>
    <t xml:space="preserve">Society of Petroleum Engineers - SPE Nigeria Annual International Conference and Exhibition, NAIC 2024</t>
  </si>
  <si>
    <t xml:space="preserve">10.2118/221793-MS</t>
  </si>
  <si>
    <t xml:space="preserve">Green BaSO4 scale inhibitor (Terminalia gum), oil production/pipelines explicit</t>
  </si>
  <si>
    <t xml:space="preserve">U125</t>
  </si>
  <si>
    <t xml:space="preserve">Xi W.; Zhou S.-S.</t>
  </si>
  <si>
    <t xml:space="preserve">Preparation of a novel hyperbranched polymer and its scale inhibition performance; [Отримання нового гиперразветвленного полімеру і його здатність інгібувати утворення накипу]</t>
  </si>
  <si>
    <t xml:space="preserve">Functional Materials</t>
  </si>
  <si>
    <t xml:space="preserve">10.15407/fm31.03.442</t>
  </si>
  <si>
    <t xml:space="preserve">Hyperbranched polymer scale inhibitor, pipeline surfaces, oil and gas production</t>
  </si>
  <si>
    <t xml:space="preserve">U126</t>
  </si>
  <si>
    <t xml:space="preserve">Su X.; Zhou D.; Wang H.; Xu J.</t>
  </si>
  <si>
    <t xml:space="preserve">Research on the Scaling Mechanism and Countermeasures of Tight Sandstone Gas Reservoirs Based on Machine Learning</t>
  </si>
  <si>
    <t xml:space="preserve">10.3390/pr12030527</t>
  </si>
  <si>
    <t xml:space="preserve">Scaling mechanism tight sandstone gas reservoirs ML, Sulige gas field, explicit</t>
  </si>
  <si>
    <t xml:space="preserve">U127</t>
  </si>
  <si>
    <t xml:space="preserve">Hendraningrat L.; Rodzali M.A.; Ramly N.A.; Riyanto L.</t>
  </si>
  <si>
    <t xml:space="preserve">Resolving a Flow Assurance Issue at Offshore Field: A Successful Novel Technology Deployment</t>
  </si>
  <si>
    <t xml:space="preserve">10.2118/220935-MS</t>
  </si>
  <si>
    <t xml:space="preserve">Flow assurance offshore field novel tech, mixed wax+inorganic scale, oil production</t>
  </si>
  <si>
    <t xml:space="preserve">U128</t>
  </si>
  <si>
    <t xml:space="preserve">Duplicate of U127 - same tag</t>
  </si>
  <si>
    <t xml:space="preserve">U129</t>
  </si>
  <si>
    <t xml:space="preserve">Jarrahian K.; Mackay E.; Singleton M.; Mohammadi S.; Heath S.; Pessu F.</t>
  </si>
  <si>
    <t xml:space="preserve">Scale Control in Geothermal Wells – What are the Options for Effective and Economic Scale Management?</t>
  </si>
  <si>
    <t xml:space="preserve">10.2118/218737-MS</t>
  </si>
  <si>
    <t xml:space="preserve">Scale control options for geothermal wells - geothermal industry</t>
  </si>
  <si>
    <t xml:space="preserve">U130</t>
  </si>
  <si>
    <t xml:space="preserve">Das G.; Springer R.D.; Kosinski J.; Anderko A.</t>
  </si>
  <si>
    <t xml:space="preserve">Scaling Risk Assessment and Remediation in Geothermal Operations Using a Novel Theoretical Approach</t>
  </si>
  <si>
    <t xml:space="preserve">Scaling risk assessment geothermal operations - geothermal industry</t>
  </si>
  <si>
    <t xml:space="preserve">U131</t>
  </si>
  <si>
    <t xml:space="preserve">Strategic scale mitigation oil wells low BSW, onshore field, explicit</t>
  </si>
  <si>
    <t xml:space="preserve">U132</t>
  </si>
  <si>
    <t xml:space="preserve">Lobo J.S.; Serpa F.S.; Filho E.B.M.; Castro B.B.; Borges G.R.; Dariva C.; Franceschi E.</t>
  </si>
  <si>
    <t xml:space="preserve">Study of the kinetic behavior of chemical inhibitors in calcium carbonate scale formation</t>
  </si>
  <si>
    <t xml:space="preserve">10.1007/s43153-023-00328-9</t>
  </si>
  <si>
    <t xml:space="preserve">Kinetic behavior of chemical inhibitors in CaCO3 scale formation, oil and gas</t>
  </si>
  <si>
    <t xml:space="preserve">U133</t>
  </si>
  <si>
    <t xml:space="preserve">Zhao L.; Zhang Y.; He Y.; Yang Z.; Liang X.; Wang X.; Mao Q.</t>
  </si>
  <si>
    <t xml:space="preserve">Study on the Mechanism of Wellbore Blockage and Scaling Trend Prediction of Keshen Block</t>
  </si>
  <si>
    <t xml:space="preserve">10.3390/pr12040782</t>
  </si>
  <si>
    <t xml:space="preserve">Wellbore blockage mechanism/scaling trend prediction, Tarim Basin gas field</t>
  </si>
  <si>
    <t xml:space="preserve">U134</t>
  </si>
  <si>
    <t xml:space="preserve">Garayev M.; Adoga C.; Trim S.; Brand P.</t>
  </si>
  <si>
    <t xml:space="preserve">Subsea Pelican Oil Field Scale Management and Production Enhancement</t>
  </si>
  <si>
    <t xml:space="preserve">10.2118/218720-MS</t>
  </si>
  <si>
    <t xml:space="preserve">Subsea oil field scale management production enhancement, Pelican field, barite</t>
  </si>
  <si>
    <t xml:space="preserve">U135</t>
  </si>
  <si>
    <t xml:space="preserve">Sustainable calcite SI via lignosulfonates, upstream oil and gas explicit</t>
  </si>
  <si>
    <t xml:space="preserve">U136</t>
  </si>
  <si>
    <t xml:space="preserve">Johnston C.J.; Jordan M.M.; Vikshaland K.; Johnston M.</t>
  </si>
  <si>
    <t xml:space="preserve">Synergistic Scale Inhibitor Blends for Severe Carbonate Scaling Systems</t>
  </si>
  <si>
    <t xml:space="preserve">10.2523/IPTC-24584-EA</t>
  </si>
  <si>
    <t xml:space="preserve">Synergistic SI blends severe carbonate scaling, oilfield chemical industry</t>
  </si>
  <si>
    <t xml:space="preserve">U137</t>
  </si>
  <si>
    <t xml:space="preserve">El-Sawaf A.K.; Mubarak M.F.; Selim H.; Hosny R.</t>
  </si>
  <si>
    <t xml:space="preserve">Synthesis and evaluation of novel copper hydroxide-loaded SBA-15 as inhibitors for an oilfield carbonate scale control: an experiment and a model study</t>
  </si>
  <si>
    <t xml:space="preserve">H2Open Journal</t>
  </si>
  <si>
    <t xml:space="preserve">10.2166/h2oj.2023.076</t>
  </si>
  <si>
    <t xml:space="preserve">Copper hydroxide-SBA-15 inhibitors, oilfield carbonate scale control, explicit</t>
  </si>
  <si>
    <t xml:space="preserve">U138</t>
  </si>
  <si>
    <t xml:space="preserve">Hashemi S.H.; Besharati Z.; Torabi F.; Pimentel N.</t>
  </si>
  <si>
    <t xml:space="preserve">Thermodynamic Prediction of Scale Formation in Oil Fields During Water Injection: Application of SPsim Program Through Utilizing Advanced Visual Basic Excel Tool</t>
  </si>
  <si>
    <t xml:space="preserve">10.3390/pr12122722</t>
  </si>
  <si>
    <t xml:space="preserve">Thermodynamic prediction of scale formation, oil fields water injection, SPsim tool</t>
  </si>
  <si>
    <t xml:space="preserve">U139</t>
  </si>
  <si>
    <t xml:space="preserve">Endale Y.T.; Ambelu A.; Sahilu G.</t>
  </si>
  <si>
    <t xml:space="preserve">Tracking sources and contributing factors of Pb contamination in drinking water supply system of Addis Ababa, Ethiopia</t>
  </si>
  <si>
    <t xml:space="preserve">International Journal of Environmental Analytical Chemistry</t>
  </si>
  <si>
    <t xml:space="preserve">10.1080/03067319.2022.2079084</t>
  </si>
  <si>
    <t xml:space="preserve">Pb contamination drinking water supply tracking, Addis Ababa - unrelated</t>
  </si>
  <si>
    <t xml:space="preserve">U140</t>
  </si>
  <si>
    <t xml:space="preserve">Ultrasound scale removal downhole production tubing, oil and gas explicit</t>
  </si>
  <si>
    <t xml:space="preserve">U141</t>
  </si>
  <si>
    <t xml:space="preserve">Heath S.; Mackay E.; Jarrahian K.; Ishkov O.; Gusmao P.</t>
  </si>
  <si>
    <t xml:space="preserve">Understanding the Role of Scale Management in Carbon Capture, Utilisation and Storage (CCUS)</t>
  </si>
  <si>
    <t xml:space="preserve">10.2118/218722-MS</t>
  </si>
  <si>
    <t xml:space="preserve">Role of scale management in CCUS - adjacent domain (carbon capture, not O&amp;G production)</t>
  </si>
  <si>
    <t xml:space="preserve">U142</t>
  </si>
  <si>
    <t xml:space="preserve">El Sayed M.; Korish M.; Mousa H.; Moussa A.</t>
  </si>
  <si>
    <t xml:space="preserve">Utilizing Integrated Network Model to Optimize Production and Prevent Halite Formation in Pipeline Offshore Gulf of Suez</t>
  </si>
  <si>
    <t xml:space="preserve">10.2523/IPTC-23570-MS</t>
  </si>
  <si>
    <t xml:space="preserve">Network model to optimize production and prevent halite in pipeline, offshore explicit</t>
  </si>
  <si>
    <t xml:space="preserve">U143</t>
  </si>
  <si>
    <t xml:space="preserve">Senthilmurugan B.; Radhakrishnan J.S.</t>
  </si>
  <si>
    <t xml:space="preserve">Water Treatment: Evaluation of Maleic Acid-Acrylamide Copolymer Inhibitor Efficiency on Calcite Scale by Response Surface Methodology</t>
  </si>
  <si>
    <t xml:space="preserve">Nature Environment and Pollution Technology</t>
  </si>
  <si>
    <t xml:space="preserve">10.46488/NEPT.2024.v23i03.042</t>
  </si>
  <si>
    <t xml:space="preserve">Maleic acid-acrylamide copolymer inhibitor calcite scale, oil field wellbore explicit</t>
  </si>
  <si>
    <t xml:space="preserve">U144</t>
  </si>
  <si>
    <t xml:space="preserve">Venancio F.; Ortiz R.W.P.; Maravilha T.S.L.; Gonçalves V.O.O.; Rosário F.F.; Fontes R.A.; Freitas T.C.; da Silva T.G.; Kartnaller V.; Cajaiba J.</t>
  </si>
  <si>
    <t xml:space="preserve">A novel approach based on RGB image analysis for the investigation of scale formation and performance of inhibitors under flow conditions</t>
  </si>
  <si>
    <t xml:space="preserve">10.1016/j.geoen.2023.211728</t>
  </si>
  <si>
    <t xml:space="preserve">RGB image analysis of scale formation/inhibitor performance, oil and gas explicit</t>
  </si>
  <si>
    <t xml:space="preserve">U145</t>
  </si>
  <si>
    <t xml:space="preserve">Yu H.; Lu X.; Ma F.; Zhang W.; Liu J.; Li C.</t>
  </si>
  <si>
    <t xml:space="preserve">A study on geothermal electricity systems for Tibet geothermal fields considering thermal performance, economic analysis, and CaCO3scaling</t>
  </si>
  <si>
    <t xml:space="preserve">Journal of Renewable and Sustainable Energy</t>
  </si>
  <si>
    <t xml:space="preserve">10.1063/5.0133895</t>
  </si>
  <si>
    <t xml:space="preserve">Geothermal electricity systems Tibet, CaCO3 scaling assessment - geothermal</t>
  </si>
  <si>
    <t xml:space="preserve">U146</t>
  </si>
  <si>
    <t xml:space="preserve">Acoustic anti-scaling technology, oil and gas industry explicit</t>
  </si>
  <si>
    <t xml:space="preserve">U147</t>
  </si>
  <si>
    <t xml:space="preserve">Shi M.; Corrêa L.F.F.; Thomsen K.; Fosbøl P.L.</t>
  </si>
  <si>
    <t xml:space="preserve">Barium Sulfate Solubility in Aqueous Solutions Containing Chlorides or Nitrates</t>
  </si>
  <si>
    <t xml:space="preserve">10.1021/acs.iecr.3c01180</t>
  </si>
  <si>
    <t xml:space="preserve">BaSO4 solubility in chloride/nitrate brines, oil/gas reservoir context explicit</t>
  </si>
  <si>
    <t xml:space="preserve">U148</t>
  </si>
  <si>
    <t xml:space="preserve">Cosmo R.D.P.; Rinaldi R.; Pereira F.D.A.R.; Soares E.J.; Martins A.L.</t>
  </si>
  <si>
    <t xml:space="preserve">CO2 degassing in CaCO3 precipitation in the presence of oil: Implications, modeling, numerical simulation, validation, prototype development, and experimental results</t>
  </si>
  <si>
    <t xml:space="preserve">10.1016/j.geoen.2023.211885</t>
  </si>
  <si>
    <t xml:space="preserve">CO2 degassing CaCO3 precipitation, oil production Brazilian Pre-Salt, explicit</t>
  </si>
  <si>
    <t xml:space="preserve">U149</t>
  </si>
  <si>
    <t xml:space="preserve">Poletto V.G.; Neubauer T.M.; Mazuroski M.E.; De Lai F.C.; Junqueira S.L.M.; Pinheiro H.E.S.; Castro B.B.; Martins A.L.</t>
  </si>
  <si>
    <t xml:space="preserve">Calcium Carbonate Formation within the Oil and Gas Workflow: A Combined Thermodynamic, Kinetic and CFD Modeling Approach</t>
  </si>
  <si>
    <t xml:space="preserve">Offshore Technology Conference Brasil, OTCB 2023</t>
  </si>
  <si>
    <t xml:space="preserve">10.4043/32672-MS</t>
  </si>
  <si>
    <t xml:space="preserve">CaCO3 formation, oil and gas workflow, thermodynamic+kinetic+CFD modeling, explicit</t>
  </si>
  <si>
    <t xml:space="preserve">U150</t>
  </si>
  <si>
    <t xml:space="preserve">Trukhina M.; Tkachenko S.; Ryabova A.; Oshchepkov M.; Redchuk A.; Popov K.</t>
  </si>
  <si>
    <t xml:space="preserve">Calcium Sulfate Crystallization in Presence of Fluorecent-Tagged Polyacrylate and Some Refinement of Scale Inhibition Mechanism</t>
  </si>
  <si>
    <t xml:space="preserve">Minerals</t>
  </si>
  <si>
    <t xml:space="preserve">10.3390/min13040559</t>
  </si>
  <si>
    <t xml:space="preserve">CaSO4 crystallization fluorescent-tagged polyacrylate, oil and gas industries explicit</t>
  </si>
  <si>
    <t xml:space="preserve">U151</t>
  </si>
  <si>
    <t xml:space="preserve">Wang X.; Li W.; Ye Y.; Navarathna C.; Reiss A.; Yao X.; Leschied C.; Shen Y.-Y.R.; Pimentel D.; Kan A.; Tomson M.</t>
  </si>
  <si>
    <t xml:space="preserve">Carbonate and Sulfide Mixed Scale: Corrosion, Prediction and Control</t>
  </si>
  <si>
    <t xml:space="preserve">10.2118/213780-MS</t>
  </si>
  <si>
    <t xml:space="preserve">Carbonate/sulfide mixed scale corrosion prediction control, oilfield explicit</t>
  </si>
  <si>
    <t xml:space="preserve">U152</t>
  </si>
  <si>
    <t xml:space="preserve">Lim A.J.; De Cruz A.L.; Koyyalamudi L.N.; Ismail M.S.; Khairudin A.; Nawi M.S.M.; Isrofeil I.H.; Zulkafli L.H.; Adib M.S.M.; Mohamed A.</t>
  </si>
  <si>
    <t xml:space="preserve">Case Study: Effective and Economical Approach to Prevent Scale Formation Using Scale Inhibitor Squeeze into Reservoir</t>
  </si>
  <si>
    <t xml:space="preserve">10.4043/32456-MS</t>
  </si>
  <si>
    <t xml:space="preserve">Case study SI squeeze to prevent scale formation, Malaysia offshore field</t>
  </si>
  <si>
    <t xml:space="preserve">U153</t>
  </si>
  <si>
    <t xml:space="preserve">Chelating chemicals for CaSO4 scale, hydrocarbon production/water injection</t>
  </si>
  <si>
    <t xml:space="preserve">U154</t>
  </si>
  <si>
    <t xml:space="preserve">Yeh S.-L.; Koshani R.; Sheikhi A.</t>
  </si>
  <si>
    <t xml:space="preserve">Colloidal aspects of calcium carbonate scaling in water-in-oil emulsions: A fundamental study using droplet-based microfluidics</t>
  </si>
  <si>
    <t xml:space="preserve">Journal of Colloid and Interface Science</t>
  </si>
  <si>
    <t xml:space="preserve">10.1016/j.jcis.2022.11.066</t>
  </si>
  <si>
    <t xml:space="preserve">Colloidal CaCO3 scaling in water-in-oil emulsions, waterflooding reservoir</t>
  </si>
  <si>
    <t xml:space="preserve">U155</t>
  </si>
  <si>
    <t xml:space="preserve">Esteves B.F.; Druhan J.L.; Jew A.D.</t>
  </si>
  <si>
    <t xml:space="preserve">Barite precipitation in unconventional reservoirs, shale oil/gas fracturing</t>
  </si>
  <si>
    <t xml:space="preserve">U156</t>
  </si>
  <si>
    <t xml:space="preserve">Juhri S.; Yonezu K.; Harijoko A.; Nurpratama M.I.; Yokoyama T.</t>
  </si>
  <si>
    <t xml:space="preserve">Diverse scale deposition in response to the change in chemical properties of geothermal water at the Dieng geothermal power plant, Indonesia</t>
  </si>
  <si>
    <t xml:space="preserve">10.1016/j.geothermics.2023.102717</t>
  </si>
  <si>
    <t xml:space="preserve">Geothermal water scale deposition, Dieng power plant Indonesia - geothermal</t>
  </si>
  <si>
    <t xml:space="preserve">U157</t>
  </si>
  <si>
    <t xml:space="preserve">Hosseini A.; Talebi S.; Riahi S.</t>
  </si>
  <si>
    <t xml:space="preserve">Effect of engineered water and scale inhibitor concentration on the adsorption performance of gypsum inhibitors on multi-walled carbon nanotubes and crushed sandstone</t>
  </si>
  <si>
    <t xml:space="preserve">Canadian Journal of Chemical Engineering</t>
  </si>
  <si>
    <t xml:space="preserve">10.1002/cjce.24914</t>
  </si>
  <si>
    <t xml:space="preserve">Engineered water SI adsorption gypsum inhibitors, CNTs/sandstone, waterflooding EOR</t>
  </si>
  <si>
    <t xml:space="preserve">U158</t>
  </si>
  <si>
    <t xml:space="preserve">Trukhina M.; Popov K.; Oshchepkov M.; Tkachenko S.; Vorob’eva A.; Guseva O.</t>
  </si>
  <si>
    <t xml:space="preserve">Enhancement of Polyacrylate Antiscalant Activity during Gypsum Deposit Formation with the Pretreatment of Aqueous Solutions with Spruce Wood Shavings</t>
  </si>
  <si>
    <t xml:space="preserve">Materials</t>
  </si>
  <si>
    <t xml:space="preserve">10.3390/ma16196516</t>
  </si>
  <si>
    <t xml:space="preserve">Polyacrylate antiscalant gypsum - broad multi-industry fundamental study</t>
  </si>
  <si>
    <t xml:space="preserve">U159</t>
  </si>
  <si>
    <t xml:space="preserve">Yan C.; Wang W.; Wei W.</t>
  </si>
  <si>
    <t xml:space="preserve">Evaluation of Long-Term Scale Control for Shale and Tight Assets with Presence of Formation Rock</t>
  </si>
  <si>
    <t xml:space="preserve">10.2118/213858-MS</t>
  </si>
  <si>
    <t xml:space="preserve">Long-term scale control for shale/tight O&amp;G assets, formation rock, explicit</t>
  </si>
  <si>
    <t xml:space="preserve">U160</t>
  </si>
  <si>
    <t xml:space="preserve">de Azevedo Novaes A.M.; de Faria R.M.B.; Pereira da Silva M.A.; Peçanha R.P.</t>
  </si>
  <si>
    <t xml:space="preserve">Evaluation of rock-fluid interaction in a carbonate reservoir: Backflow test and reactive transport simulations</t>
  </si>
  <si>
    <t xml:space="preserve">10.1016/j.geoen.2023.212158</t>
  </si>
  <si>
    <t xml:space="preserve">Rock-fluid interaction carbonate reservoir, backflow test, seawater injection</t>
  </si>
  <si>
    <t xml:space="preserve">U161</t>
  </si>
  <si>
    <t xml:space="preserve">Paz P.; Netto T.A.</t>
  </si>
  <si>
    <t xml:space="preserve">Experimental Analysis of the Effectiveness of Sodium Hexametaphosphate as Calcium Carbonate Scales Inhibitor</t>
  </si>
  <si>
    <t xml:space="preserve">10.2118/214701-PA</t>
  </si>
  <si>
    <t xml:space="preserve">Sodium hexametaphosphate CaCO3 scale inhibitor, offshore oil and gas explicit</t>
  </si>
  <si>
    <t xml:space="preserve">U162</t>
  </si>
  <si>
    <t xml:space="preserve">Yao X.; Wang X.; Ko S.; Leschied C.; Shen Yu.Y.; Pimentel D.; Navarathna C.; Ye Y.; Reiss A.; Kan A.T.; Tomson M.B.</t>
  </si>
  <si>
    <t xml:space="preserve">Fate and Transport of Sulfonated Polymeric Inhibitors in the Reservoir: Studied by Column Experiments With Calcite Media</t>
  </si>
  <si>
    <t xml:space="preserve">10.2118/213787-MS</t>
  </si>
  <si>
    <t xml:space="preserve">Fate/transport of sulfonated polymeric inhibitors, reservoir, oil and gas industry</t>
  </si>
  <si>
    <t xml:space="preserve">U163</t>
  </si>
  <si>
    <t xml:space="preserve">Mady M.F.; Abdelaal A.T.; Kelland M.A.; Liakaki-Stavropoulou S.; Demadis K.D.</t>
  </si>
  <si>
    <t xml:space="preserve">Flexible, Linear, and Systematically Expanded Tetraphosphonate Bolaamphiphiles and Their Inhibition Performance against Calcite and Barite Scale Formation</t>
  </si>
  <si>
    <t xml:space="preserve">10.1021/acs.energyfuels.3c01428</t>
  </si>
  <si>
    <t xml:space="preserve">Tetraphosphonate bolaamphiphile inhibitors, calcite/barite, oilfield scaling explicit</t>
  </si>
  <si>
    <t xml:space="preserve">U164</t>
  </si>
  <si>
    <t xml:space="preserve">He W.; Hu J.; Sun W.; Liu J.; Guo H.; Zhao C.; Wang Q.; Liu X.; Cai M.; Shi W.</t>
  </si>
  <si>
    <t xml:space="preserve">Heavy Alkyl-Benzene Sulfonate-Controlled Growth of Aragonite-Based Polymorphic CaCO3 Crystals in Emulsion</t>
  </si>
  <si>
    <t xml:space="preserve">Crystals</t>
  </si>
  <si>
    <t xml:space="preserve">10.3390/cryst13071107</t>
  </si>
  <si>
    <t xml:space="preserve">HABS-controlled CaCO3 crystal growth, ASP flooding oilfields, explicit</t>
  </si>
  <si>
    <t xml:space="preserve">U165</t>
  </si>
  <si>
    <t xml:space="preserve">Gholami R.</t>
  </si>
  <si>
    <t xml:space="preserve">Hydrogen storage in geological porous media: Solubility, mineral trapping, H2S generation and salt precipitation</t>
  </si>
  <si>
    <t xml:space="preserve">Journal of Energy Storage</t>
  </si>
  <si>
    <t xml:space="preserve">10.1016/j.est.2022.106576</t>
  </si>
  <si>
    <t xml:space="preserve">Hydrogen storage geological porous media salt precipitation - different domain</t>
  </si>
  <si>
    <t xml:space="preserve">U166</t>
  </si>
  <si>
    <t xml:space="preserve">Mohseni A.; Mahmoodi L.; Malayeri M.R.</t>
  </si>
  <si>
    <t xml:space="preserve">Impact of temperature and pH on calcite inhibition using innovative green scale inhibitors</t>
  </si>
  <si>
    <t xml:space="preserve">Advanced Powder Technology</t>
  </si>
  <si>
    <t xml:space="preserve">10.1016/j.apt.2023.103954</t>
  </si>
  <si>
    <t xml:space="preserve">Calcite inhibition green SI, formation water/seawater PHREEQC, oilfield brine</t>
  </si>
  <si>
    <t xml:space="preserve">U167</t>
  </si>
  <si>
    <t xml:space="preserve">Neto S.S.; Smiderle A.L.; Neto J.M.D.; Alves A.F.</t>
  </si>
  <si>
    <t xml:space="preserve">Integrated Approach Combining Plant Data and Thermodynamic Simulation for Management of Inorganic Scale in Topsides Processing Facilities</t>
  </si>
  <si>
    <t xml:space="preserve">10.4043/32735-MS</t>
  </si>
  <si>
    <t xml:space="preserve">Inorganic scale management, topsides processing facilities, pre-salt explicit</t>
  </si>
  <si>
    <t xml:space="preserve">U168</t>
  </si>
  <si>
    <t xml:space="preserve">Injectivity decline root cause, water injection well solids characterization</t>
  </si>
  <si>
    <t xml:space="preserve">U169</t>
  </si>
  <si>
    <t xml:space="preserve">Ganguly S.; Kelland M.A.; Ellis R.J.; Andresen M.; Subramanian S.</t>
  </si>
  <si>
    <t xml:space="preserve">Lignosulfonate-Based Calcite Scale Inhibitors for Topside and Downhole Applications</t>
  </si>
  <si>
    <t xml:space="preserve">10.2118/213877-MS</t>
  </si>
  <si>
    <t xml:space="preserve">Lignosulfonate calcite SI, topside/downhole, upstream oil and gas explicit</t>
  </si>
  <si>
    <t xml:space="preserve">U170</t>
  </si>
  <si>
    <t xml:space="preserve">Gruszka M.; Nagy S.</t>
  </si>
  <si>
    <t xml:space="preserve">Precipitation of Barium Sulphate during the Waterflooding Process in Polish Offshore Oilfields—Case Analysis</t>
  </si>
  <si>
    <t xml:space="preserve">Energies</t>
  </si>
  <si>
    <t xml:space="preserve">10.3390/en16083345</t>
  </si>
  <si>
    <t xml:space="preserve">BaSO4 precipitation waterflooding, Polish offshore oilfields, explicit</t>
  </si>
  <si>
    <t xml:space="preserve">U171</t>
  </si>
  <si>
    <t xml:space="preserve">BaSO4 precipitation dynamic tube blocking waterflooding RSM, petroleum explicit</t>
  </si>
  <si>
    <t xml:space="preserve">U172</t>
  </si>
  <si>
    <t xml:space="preserve">Microemulsion acid for inorganic/organic scale plugging removal, carbonate reservoir</t>
  </si>
  <si>
    <t xml:space="preserve">U173</t>
  </si>
  <si>
    <t xml:space="preserve">Wang M.; Tan M.Y.; Zhu Y.; Huang Y.; Xu Y.</t>
  </si>
  <si>
    <t xml:space="preserve">Probing top-of-the-line corrosion using coupled multi-electrode array in conjunction with local electrochemical measurement</t>
  </si>
  <si>
    <t xml:space="preserve">npj Materials Degradation</t>
  </si>
  <si>
    <t xml:space="preserve">10.1038/s41529-023-00332-x</t>
  </si>
  <si>
    <t xml:space="preserve">Top-of-line corrosion probing - primarily corrosion study, FeCO3 scaling secondary</t>
  </si>
  <si>
    <t xml:space="preserve">U174</t>
  </si>
  <si>
    <t xml:space="preserve">Baraka-Lokmane S.; Wang X.; Bigno Y.; Decroux B.; Olsen J.; El Hassan M.; Younes D.; Singleton M.; Mackay E.</t>
  </si>
  <si>
    <t xml:space="preserve">Reactive Transport Modelling for a More Rigorous Scaling Risk Evaluation and Mitigation in a Giant U.A.E Carbonate Field</t>
  </si>
  <si>
    <t xml:space="preserve">10.2118/215958-MS</t>
  </si>
  <si>
    <t xml:space="preserve">Reactive transport modelling scaling risk, UAE carbonate field water injection</t>
  </si>
  <si>
    <t xml:space="preserve">U175</t>
  </si>
  <si>
    <t xml:space="preserve">Holmslykke H.D.; Kjøller C.</t>
  </si>
  <si>
    <t xml:space="preserve">Reactive transport modelling of potential near-well mineralogical changes during seasonal heat storage (HT-ATES) in Danish geothermal reservoirs</t>
  </si>
  <si>
    <t xml:space="preserve">10.1016/j.est.2023.108653</t>
  </si>
  <si>
    <t xml:space="preserve">Reactive transport modelling near-well mineralogy, Danish geothermal HT-ATES</t>
  </si>
  <si>
    <t xml:space="preserve">U176</t>
  </si>
  <si>
    <t xml:space="preserve">Wu B.; Wang J.; Shi S.; Zhang Y.; Nie Z.; Li Y.</t>
  </si>
  <si>
    <t xml:space="preserve">SCALE MODELLING, PREDICTION AND MANAGEMENT STRATEGY IN HIGH-TEMPERATURE HIGH SALINITY RESERVOIR IN MIDDLE EAST</t>
  </si>
  <si>
    <t xml:space="preserve">Proceedings of the International Conference on Offshore Mechanics and Arctic Engineering - OMAE</t>
  </si>
  <si>
    <t xml:space="preserve">10.1115/OMAE2023-107230</t>
  </si>
  <si>
    <t xml:space="preserve">Scale modelling/prediction/management, HT high salinity reservoir Middle East</t>
  </si>
  <si>
    <t xml:space="preserve">U177</t>
  </si>
  <si>
    <t xml:space="preserve">Giammancheri M.; Tassone G.; Carpineta G.; Okoka A.; Itoua R.; Ilyasov R.; Reilly B.; Bhamidipati V.</t>
  </si>
  <si>
    <t xml:space="preserve">Scaling Issues on Horizontal Multi-Fractured Wells: An Alternative Intervention Approach with Novel Technologies for Diversion and Scale Inhibition</t>
  </si>
  <si>
    <t xml:space="preserve">Society of Petroleum Engineers - SPE Canadian Energy Technology Conference and Exhibition, CET 2023</t>
  </si>
  <si>
    <t xml:space="preserve">10.2118/212771-MS</t>
  </si>
  <si>
    <t xml:space="preserve">Scaling issues horizontal multi-fractured wells, diversion+scale inhibition</t>
  </si>
  <si>
    <t xml:space="preserve">U178</t>
  </si>
  <si>
    <t xml:space="preserve">Baraka-Lokmane S.; Boumera J.-M.; Faucheux F.</t>
  </si>
  <si>
    <t xml:space="preserve">Selection of the Appropriate H2S Scavenger Chemistry Based on the Mineral Scaling Risk</t>
  </si>
  <si>
    <t xml:space="preserve">Society of Petroleum Engineers - Gas and Oil Technology Showcase and Conference, GOTS 2023</t>
  </si>
  <si>
    <t xml:space="preserve">10.2118/214095-MS</t>
  </si>
  <si>
    <t xml:space="preserve">H2S scavenger selection tied to mineral scaling risk, oilfield reinjection</t>
  </si>
  <si>
    <t xml:space="preserve">U179</t>
  </si>
  <si>
    <t xml:space="preserve">Deposit formation model, sulfide-containing natural gas, pipeline blockage</t>
  </si>
  <si>
    <t xml:space="preserve">U180</t>
  </si>
  <si>
    <t xml:space="preserve">Jordan M.; Vikshåland K.; Johnston M.</t>
  </si>
  <si>
    <t xml:space="preserve">Synergistic Scale Inhibitor Blends Provide Enhanced Carbonate Scale Management- Laboratory to Field</t>
  </si>
  <si>
    <t xml:space="preserve">10.2118/213843-MS</t>
  </si>
  <si>
    <t xml:space="preserve">Synergistic SI blends carbonate scale management, lab-to-field, oilfield</t>
  </si>
  <si>
    <t xml:space="preserve">U181</t>
  </si>
  <si>
    <t xml:space="preserve">Shen D.; Stewart J.; Chao K.-P.; Cook S.</t>
  </si>
  <si>
    <t xml:space="preserve">The Application of Scale Inhibitors for Downhole Capillary Injection Under Ultra High Temperature</t>
  </si>
  <si>
    <t xml:space="preserve">10.2118/213615-MS</t>
  </si>
  <si>
    <t xml:space="preserve">SI for downhole capillary injection ultra-high temp, oil and gas production</t>
  </si>
  <si>
    <t xml:space="preserve">U182</t>
  </si>
  <si>
    <t xml:space="preserve">Gusmao P.B.; Mackay E.J.</t>
  </si>
  <si>
    <t xml:space="preserve">The Impact of Variations in Water and Gas Flow Rates on Scaling Potential of Carbonate Reservoirs Under CO2-WAG Injection</t>
  </si>
  <si>
    <t xml:space="preserve">10.2118/213864-MS</t>
  </si>
  <si>
    <t xml:space="preserve">CO2-WAG injection scaling potential, carbonate reservoirs reactive transport</t>
  </si>
  <si>
    <t xml:space="preserve">U183</t>
  </si>
  <si>
    <t xml:space="preserve">Rafiee H.; Sorbie K.S.; Mackay E.J.</t>
  </si>
  <si>
    <t xml:space="preserve">The deposition kinetics of barium sulphate scale: model development</t>
  </si>
  <si>
    <t xml:space="preserve">Frontiers in Materials</t>
  </si>
  <si>
    <t xml:space="preserve">10.3389/fmats.2023.1198176</t>
  </si>
  <si>
    <t xml:space="preserve">BaSO4 deposition kinetics model development - matches core kinetics methodology</t>
  </si>
  <si>
    <t xml:space="preserve">U184</t>
  </si>
  <si>
    <t xml:space="preserve">Dilsiz E.A.; Mihcakan I.M.</t>
  </si>
  <si>
    <t xml:space="preserve">The effects of calcium carbonate precipitation on high-velocity flow behavior in 3D printed fracture models</t>
  </si>
  <si>
    <t xml:space="preserve">10.1016/j.petrol.2022.111264</t>
  </si>
  <si>
    <t xml:space="preserve">CaCO3 precipitation high-velocity flow, fracture models, oil field production water</t>
  </si>
  <si>
    <t xml:space="preserve">U185</t>
  </si>
  <si>
    <t xml:space="preserve">Li H.; Li R.</t>
  </si>
  <si>
    <t xml:space="preserve">Theoretical and Experimental Antiscaling Performance Study of Several Inhibitors to Prevent Barium Sulfate Formation during Water Injection in Oil Reservoirs</t>
  </si>
  <si>
    <t xml:space="preserve">Geofluids</t>
  </si>
  <si>
    <t xml:space="preserve">10.1155/2023/9786775</t>
  </si>
  <si>
    <t xml:space="preserve">Antiscaling performance study, BaSO4 formation, water injection oil reservoirs</t>
  </si>
  <si>
    <t xml:space="preserve">U186</t>
  </si>
  <si>
    <t xml:space="preserve">Al Kalbani M.; Al Barwani A.; Al Farsi M.; Al Kindi S.</t>
  </si>
  <si>
    <t xml:space="preserve">Water Injection Enhancement in Nimr Fields Sandstone Formations: Restoration and Lessons Learnt</t>
  </si>
  <si>
    <t xml:space="preserve">10.2118/214126-MS</t>
  </si>
  <si>
    <t xml:space="preserve">Water injection enhancement Nimr fields - acid stimulation focus, scale secondary</t>
  </si>
  <si>
    <t xml:space="preserve">U187</t>
  </si>
  <si>
    <t xml:space="preserve">Ma S.; Yang Y.; Lei X.; Yue B.</t>
  </si>
  <si>
    <t xml:space="preserve">Water scaling predication for typical sandstone geothermal reservoirs in the Xi'an Depression</t>
  </si>
  <si>
    <t xml:space="preserve">Energy Geoscience</t>
  </si>
  <si>
    <t xml:space="preserve">10.1016/j.engeos.2023.100182</t>
  </si>
  <si>
    <t xml:space="preserve">Water scaling prediction, sandstone geothermal reservoirs Xi'an - geothermal</t>
  </si>
  <si>
    <t xml:space="preserve">U188</t>
  </si>
  <si>
    <t xml:space="preserve">Wang X.; Dai Z.J.; Ko S.; Leschied C.; Dai C.; Li W.; Paudyal S.; Yao X.; Roy Shen Y.-Y.; Pimentel D.; Kan A.; Tomson M.</t>
  </si>
  <si>
    <t xml:space="preserve">A Fast and Accurate Method for Scale Inhibitor Effective Concentration Measurement with Low Detection Limit</t>
  </si>
  <si>
    <t xml:space="preserve">Society of Petroleum Engineers - SPE International Oilfield Scale Conference and Exhibition, OSS 2022</t>
  </si>
  <si>
    <t xml:space="preserve">10.2118/209503-MS</t>
  </si>
  <si>
    <t xml:space="preserve">Fast accurate SI effective-concentration measurement, oil and gas production</t>
  </si>
  <si>
    <t xml:space="preserve">U189</t>
  </si>
  <si>
    <t xml:space="preserve">Paredes M.; da Silva L.B.M.; Egas L.; Endara E.; Escalona P.; Maulidani O.; Pineda A.; Estevez D.; Guaman J.; Carrion J.; Freire C.; Villamar F.</t>
  </si>
  <si>
    <t xml:space="preserve">A Novel Chemical Treatment and Well Completion Strategy to Prevent Scale and Production Losses in Shushufindi Aguarico Field</t>
  </si>
  <si>
    <t xml:space="preserve">International Petroleum Technology Conference, IPTC 2022</t>
  </si>
  <si>
    <t xml:space="preserve">10.2523/IPTC-22430-MS</t>
  </si>
  <si>
    <t xml:space="preserve">Chemical treatment/completion strategy prevent scale, Shushufindi field, ESP</t>
  </si>
  <si>
    <t xml:space="preserve">U190</t>
  </si>
  <si>
    <t xml:space="preserve">Cen J.; Jiang F.</t>
  </si>
  <si>
    <t xml:space="preserve">A Practical Field Test and Simulation Procedure for Prediction of Scaling in Geothermal Wells Containing Noncondensable Gases</t>
  </si>
  <si>
    <t xml:space="preserve">10.3390/pr10102018</t>
  </si>
  <si>
    <t xml:space="preserve">Field test/simulation predicting scaling in geothermal wells - geothermal industry</t>
  </si>
  <si>
    <t xml:space="preserve">U191</t>
  </si>
  <si>
    <t xml:space="preserve">Gómez-Yáñez H.; Lapidus-Lavine G.T.</t>
  </si>
  <si>
    <t xml:space="preserve">A hydrodynamic model to describe CaCO3 deposit formation in pipelines; [Modelo cinético hidrodinámico para el estudio de la formación de depósitos de CaCO3 en tuberías]</t>
  </si>
  <si>
    <t xml:space="preserve">Revista Mexicana de Ingeniera Quimica</t>
  </si>
  <si>
    <t xml:space="preserve">10.24275/rmiq/fen2849</t>
  </si>
  <si>
    <t xml:space="preserve">Hydrodynamic model CaCO3 deposit formation in pipelines, explicit</t>
  </si>
  <si>
    <t xml:space="preserve">U192</t>
  </si>
  <si>
    <t xml:space="preserve">Mady M.F.; Haukereid E.; Abdel-Azeim S.; Hussein I.A.; Kelland M.A.</t>
  </si>
  <si>
    <t xml:space="preserve">A sustainable approach to synthesize phosphonated chitosan using ball milling and its application for oilfield scale management</t>
  </si>
  <si>
    <t xml:space="preserve">Green Chemistry</t>
  </si>
  <si>
    <t xml:space="preserve">10.1039/d2gc02102a</t>
  </si>
  <si>
    <t xml:space="preserve">Phosphonated chitosan for oilfield scale management, explicit</t>
  </si>
  <si>
    <t xml:space="preserve">U193</t>
  </si>
  <si>
    <t xml:space="preserve">Abatement of scale precipitation in oilfields, green SI, explicit</t>
  </si>
  <si>
    <t xml:space="preserve">U194</t>
  </si>
  <si>
    <t xml:space="preserve">Cosmo R.D.P.; Pereira F.D.A.R.; Soares E.J.; Ferreira E.G.</t>
  </si>
  <si>
    <t xml:space="preserve">Addressing the root cause of calcite precipitation that leads to energy loss in geothermal systems</t>
  </si>
  <si>
    <t xml:space="preserve">10.1016/j.geothermics.2021.102272</t>
  </si>
  <si>
    <t xml:space="preserve">Root cause of calcite precipitation energy loss - geothermal systems</t>
  </si>
  <si>
    <t xml:space="preserve">U195</t>
  </si>
  <si>
    <t xml:space="preserve">Gasimli N.; Mahmoud M.; Hassan A.; Kamal M.S.; Patil S.; Al-Abdrabalnabi R.</t>
  </si>
  <si>
    <t xml:space="preserve">Adsorption of Aminopolycarboxylic Acids in Carbonate Formations</t>
  </si>
  <si>
    <t xml:space="preserve">10.2118/210058-MS</t>
  </si>
  <si>
    <t xml:space="preserve">Adsorption of aminopolycarboxylic acids, carbonate formations, well ops/EOR scale</t>
  </si>
  <si>
    <t xml:space="preserve">U196</t>
  </si>
  <si>
    <t xml:space="preserve">Moghaddam R.N.; van Doorn M.; Santos A.D.; Lopez F.; Ulloa M.; Bocaneala B.; Pitts M.</t>
  </si>
  <si>
    <t xml:space="preserve">An Efficient Chemical Treatment to Tackle Low Productivity of Challenging Tight Dolomite: Wormholing and Remediation of Scale-Based Damage</t>
  </si>
  <si>
    <t xml:space="preserve">10.2118/208822-MS</t>
  </si>
  <si>
    <t xml:space="preserve">Chemical treatment tight dolomite, wormholing + scale-based damage removal</t>
  </si>
  <si>
    <t xml:space="preserve">U197</t>
  </si>
  <si>
    <t xml:space="preserve">Deng F.; Yin B.; Li X.; Wang Y.; Xu Y.</t>
  </si>
  <si>
    <t xml:space="preserve">Analysis of the scaling mechanism and characteristics of a double-defects screen based on data from Hafaya oilfield</t>
  </si>
  <si>
    <t xml:space="preserve">10.1016/j.petrol.2022.110729</t>
  </si>
  <si>
    <t xml:space="preserve">Scaling mechanism analysis of screen defects, Hafaya oilfield, CFD explicit</t>
  </si>
  <si>
    <t xml:space="preserve">U198</t>
  </si>
  <si>
    <t xml:space="preserve">Trifunctional anti-corrosion/antiscalant/anti-microbial chemicals, oilfield EOR</t>
  </si>
  <si>
    <t xml:space="preserve">U199</t>
  </si>
  <si>
    <t xml:space="preserve">Ness G.; Sorbie K.S.; Gough M.; Akbar R.; Wylde J.J.; Thornton A.</t>
  </si>
  <si>
    <t xml:space="preserve">Application of a Rigorous Scale Prediction Workflow to the Analysis of CaCO3 Scaling in an Extreme Acid Gas, High Temperature, Low Watercut Onshore Field in Southeast Asia</t>
  </si>
  <si>
    <t xml:space="preserve">Society of Petroleum Engineers - ADIPEC 2022</t>
  </si>
  <si>
    <t xml:space="preserve">10.2118/211312-MS</t>
  </si>
  <si>
    <t xml:space="preserve">Rigorous scale prediction workflow, CaCO3 scaling, onshore field SE Asia</t>
  </si>
  <si>
    <t xml:space="preserve">U200</t>
  </si>
  <si>
    <t xml:space="preserve">Hasanov Kh.I.; Khalilov N.N.</t>
  </si>
  <si>
    <t xml:space="preserve">DEVELOPMENT AND STUDY OF INHIBITOR TO PREVENT INORGANIC SALTS DEPOSITION; [QEYRİ-ÜZVİ DUZ ÇÖKÜNTÜLƏRİNİN ARADAN QALDIRILMASI ÜÇÜN İNHİBİTORUN İŞLƏNİLMƏSİ VƏ TƏDQİQİ]; [РАЗРАБОТКА И ИССЛЕДОВАНИЕ ИНГИБИТОРА ОТЛОЖЕНИЯ НЕОРГАНИЧЕСКИХ СОЛЕЙ]</t>
  </si>
  <si>
    <t xml:space="preserve">Chemical Problems</t>
  </si>
  <si>
    <t xml:space="preserve">10.32737/2221-8688-2022-2-175-182</t>
  </si>
  <si>
    <t xml:space="preserve">Inhibitor development to prevent inorganic salt deposition, oil refining pipelines</t>
  </si>
  <si>
    <t xml:space="preserve">U201</t>
  </si>
  <si>
    <t xml:space="preserve">ANN models CaCO3 scale formation with MEG, dynamic tube blocking test, O&amp;G</t>
  </si>
  <si>
    <t xml:space="preserve">U202</t>
  </si>
  <si>
    <t xml:space="preserve">Sulfate-based scales calcite surface chemistry/wettability, oil and gas industry</t>
  </si>
  <si>
    <t xml:space="preserve">U203</t>
  </si>
  <si>
    <t xml:space="preserve">Cui K.; Xia Y.; Tian L.; Wang S.; He Y.</t>
  </si>
  <si>
    <t xml:space="preserve">Effect of supercritical CO2 flooding on the produced water quality and performance of the scale inhibitors in a typical tight sandstone oilfield</t>
  </si>
  <si>
    <t xml:space="preserve">10.1080/10916466.2022.2032150</t>
  </si>
  <si>
    <t xml:space="preserve">Supercritical CO2 flooding, produced water quality, SI performance, tight oilfield</t>
  </si>
  <si>
    <t xml:space="preserve">U204</t>
  </si>
  <si>
    <t xml:space="preserve">Evaluation of polymeric scale inhibitors for oilfield application, explicit</t>
  </si>
  <si>
    <t xml:space="preserve">U205</t>
  </si>
  <si>
    <t xml:space="preserve">Baraka-Lokmane S.; Deleersnyder M.</t>
  </si>
  <si>
    <t xml:space="preserve">Evolution of Mineral Scale Deposition as a Function of Production Lifetime in TotalEnergies Gulf of Guinea Wells</t>
  </si>
  <si>
    <t xml:space="preserve">10.2118/209483-MS</t>
  </si>
  <si>
    <t xml:space="preserve">Evolution of mineral scale deposition vs production lifetime, Gulf of Guinea wells</t>
  </si>
  <si>
    <t xml:space="preserve">U206</t>
  </si>
  <si>
    <t xml:space="preserve">Aldeia W.; França G.P.; Miliotti M.A.; Martins A.L.; Schluter H.E.P.; Castro B.B.; Pereira A.Z.I.; Freitas T.C.</t>
  </si>
  <si>
    <t xml:space="preserve">Experimental Study of the Effect of Magnetic Field Associated with Inhibitor in Calcium Carbonate Scale Formation</t>
  </si>
  <si>
    <t xml:space="preserve">10.2118/209488-MS</t>
  </si>
  <si>
    <t xml:space="preserve">Magnetic field + inhibitor for CaCO3 scale formation, downhole deepwater wells</t>
  </si>
  <si>
    <t xml:space="preserve">U207</t>
  </si>
  <si>
    <t xml:space="preserve">Mady M.F.; Ortega R.; Kelland M.A.</t>
  </si>
  <si>
    <t xml:space="preserve">Exploring Modified Alendronic Acid as a New Inhibitor for Calcium-Based Oilfield Scales</t>
  </si>
  <si>
    <t xml:space="preserve">10.1021/acs.energyfuels.1c03936</t>
  </si>
  <si>
    <t xml:space="preserve">Modified alendronic acid inhibitor for calcium-based oilfield scales, Heidrun</t>
  </si>
  <si>
    <t xml:space="preserve">U208</t>
  </si>
  <si>
    <t xml:space="preserve">Dai Z.; Ouyang B.; Wang X.; Li W.; Dai C.; Zhao Y.; Ko S.; Paudyal S.; Kan A.; Tomson M.</t>
  </si>
  <si>
    <t xml:space="preserve">From water analysis to scale and corrosion control improvements: A Permian Basin example</t>
  </si>
  <si>
    <t xml:space="preserve">Chemical Geology</t>
  </si>
  <si>
    <t xml:space="preserve">10.1016/j.chemgeo.2022.121077</t>
  </si>
  <si>
    <t xml:space="preserve">Water analysis to scale/corrosion control improvements, Permian Basin</t>
  </si>
  <si>
    <t xml:space="preserve">U209</t>
  </si>
  <si>
    <t xml:space="preserve">Poletto V.G.; Mazuroski M.E.; de Assis Pereira F.R.; Schwalbert M.P.; Duarte Ferreira M.V.; Torres Eduardo T.H.; De Lai F.C.; de Mello Junqueira S.L.; Martins A.L.</t>
  </si>
  <si>
    <t xml:space="preserve">Hydrodynamic Simulation Supports Scale Formation in Technical Specification for Downhole Equipment</t>
  </si>
  <si>
    <t xml:space="preserve">10.2118/209499-MS</t>
  </si>
  <si>
    <t xml:space="preserve">Hydrodynamic simulation supports scale-formation spec for downhole equipment</t>
  </si>
  <si>
    <t xml:space="preserve">U210</t>
  </si>
  <si>
    <t xml:space="preserve">Rostaminikoo E.; Ayatollahi S.; Taghikhani V.; Kalantarian A.</t>
  </si>
  <si>
    <t xml:space="preserve">INVESTIGATING THE INHIBITION OF FORMATION DAMAGE DURING LOW SALINITY WATER INJECTION; USING QCM TECHNIQUE</t>
  </si>
  <si>
    <t xml:space="preserve">83rd EAGE Conference and Exhibition 2022</t>
  </si>
  <si>
    <t xml:space="preserve">Inhibition of formation damage, low salinity water injection QCM, CaSO4 scale</t>
  </si>
  <si>
    <t xml:space="preserve">U211</t>
  </si>
  <si>
    <t xml:space="preserve">Nikoo A.H.; Malayeri M.R.</t>
  </si>
  <si>
    <t xml:space="preserve">Incorporation of geochemical, geometrical and intermolecular interactions into modelling of scale removal in a capillary microchannel</t>
  </si>
  <si>
    <t xml:space="preserve">10.1016/j.petrol.2021.109311</t>
  </si>
  <si>
    <t xml:space="preserve">Modelling of gypsum scale removal in capillary microchannel, reservoir rocks</t>
  </si>
  <si>
    <t xml:space="preserve">U212</t>
  </si>
  <si>
    <t xml:space="preserve">Tang X.; Kum S.; Liu H.</t>
  </si>
  <si>
    <t xml:space="preserve">Inland Desalination Brine Disposal: A Baseline Study from Southern California on Brine Transport Infrastructure and Treatment Potential</t>
  </si>
  <si>
    <t xml:space="preserve">10.1021/acsestengg.1c00276</t>
  </si>
  <si>
    <t xml:space="preserve">Inland desalination brine disposal pipeline scaling - municipal, not oilfield</t>
  </si>
  <si>
    <t xml:space="preserve">U213</t>
  </si>
  <si>
    <t xml:space="preserve">Paudyal S.; Dai Z.; Dai C.; Ko S.; Wang X.; Li W.; Leschied C.</t>
  </si>
  <si>
    <t xml:space="preserve">Introduction of a New BCC Continuous Stirred Tank Reactor Inhibitor BCIn Screening Method for Chemicals in Controlling Inorganic Scales in Oil/Gas Production</t>
  </si>
  <si>
    <t xml:space="preserve">10.2118/209477-MS</t>
  </si>
  <si>
    <t xml:space="preserve">BCC CSTR inhibitor screening method for inorganic scales, oil/gas production</t>
  </si>
  <si>
    <t xml:space="preserve">U214</t>
  </si>
  <si>
    <t xml:space="preserve">Liu Y.; Dai Z.; Kan A.T.; Tomson M.B.; Zhang P.</t>
  </si>
  <si>
    <t xml:space="preserve">Investigation of sorptive interaction between phosphonate inhibitor and barium sulfate for oilfield scale control</t>
  </si>
  <si>
    <t xml:space="preserve">10.1016/j.petrol.2021.109425</t>
  </si>
  <si>
    <t xml:space="preserve">Sorptive interaction phosphonate inhibitor &amp; barium sulfate, oilfield scale control</t>
  </si>
  <si>
    <t xml:space="preserve">U215</t>
  </si>
  <si>
    <t xml:space="preserve">Gasimli N.; Mahmoud M.; Kamal M.S.; Patil S.; Alsaiari H.A.; Hussein I.A.</t>
  </si>
  <si>
    <t xml:space="preserve">Iron Sulfide Scale Inhibition in Carbonate Reservoirs</t>
  </si>
  <si>
    <t xml:space="preserve">10.1021/acsomega.2c01568</t>
  </si>
  <si>
    <t xml:space="preserve">Iron sulfide scale inhibition, carbonate reservoirs, squeeze treatment oilfield</t>
  </si>
  <si>
    <t xml:space="preserve">U216</t>
  </si>
  <si>
    <t xml:space="preserve">Wang X.; Dai Z.; Ko S.; Deng G.; Zhao Y.; Dai C.; Li W.; Paudyal S.; Yao X.; Kan A.T.; Tomson M.</t>
  </si>
  <si>
    <t xml:space="preserve">Iron Sulfide Solubility Measurement and Modeling over Wide Ranges of Temperatures, Ionic Strength, and pH</t>
  </si>
  <si>
    <t xml:space="preserve">10.2118/208616-PA</t>
  </si>
  <si>
    <t xml:space="preserve">Iron sulfide solubility measurement/modeling - fundamental, multi-domain</t>
  </si>
  <si>
    <t xml:space="preserve">U217</t>
  </si>
  <si>
    <t xml:space="preserve">Sanni O.; Charpentier T.; Harbottle D.; Barker R.; Pessu F.; Neville A.</t>
  </si>
  <si>
    <t xml:space="preserve">Kinetics of Transformation and Inhibition of Calcium Carbonate Scale Formation in Mixed Oil Fractions</t>
  </si>
  <si>
    <t xml:space="preserve">10.2118/209515-MS</t>
  </si>
  <si>
    <t xml:space="preserve">Kinetics of transformation/inhibition of CaCO3 scale, mixed oil fractions pipeline</t>
  </si>
  <si>
    <t xml:space="preserve">U218</t>
  </si>
  <si>
    <t xml:space="preserve">Husna U.Z.; Elraies K.A.; Shuhili J.A.B.M.; Deo Tewari R.</t>
  </si>
  <si>
    <t xml:space="preserve">Laboratory Study on the Use of Novel Biodegradable Scale Inhibitors Against Mixed Calcium Carbonate and Calcium Sulfate Scale</t>
  </si>
  <si>
    <t xml:space="preserve">Offshore Technology Conference Asia, OTCA 2022</t>
  </si>
  <si>
    <t xml:space="preserve">10.4043/31492-MS</t>
  </si>
  <si>
    <t xml:space="preserve">Biodegradable SI for mixed CaCO3/CaSO4 scale, oil and gas operation</t>
  </si>
  <si>
    <t xml:space="preserve">U219</t>
  </si>
  <si>
    <t xml:space="preserve">de Paula Cosmo R.; de Assis Ressel Pereira F.; Soares E.J.; Leibsohn Martins A.</t>
  </si>
  <si>
    <t xml:space="preserve">Modeling and validation of the CO2 degassing effect on CaCO3 precipitation using oilfield data</t>
  </si>
  <si>
    <t xml:space="preserve">Fuel</t>
  </si>
  <si>
    <t xml:space="preserve">10.1016/j.fuel.2021.122067</t>
  </si>
  <si>
    <t xml:space="preserve">CO2 degassing effect on CaCO3 precipitation, oilfield data, Brazilian Pre-Salt</t>
  </si>
  <si>
    <t xml:space="preserve">U220</t>
  </si>
  <si>
    <t xml:space="preserve">Rabbani A.; Banks J.; Brinsky J.; Palombi D.</t>
  </si>
  <si>
    <t xml:space="preserve">Multivariate and geochemical analyses of brines in Devonian strata of the Western Canada Sedimentary Basin for geothermal energy development</t>
  </si>
  <si>
    <t xml:space="preserve">10.1016/j.geothermics.2022.102498</t>
  </si>
  <si>
    <t xml:space="preserve">Geothermal brine geochemical mapping, Western Canada - no scale-formation focus</t>
  </si>
  <si>
    <t xml:space="preserve">U221</t>
  </si>
  <si>
    <t xml:space="preserve">Stainless steel pipe corrosion+scale deposition detection, ultrasonic, petroleum</t>
  </si>
  <si>
    <t xml:space="preserve">U222</t>
  </si>
  <si>
    <t xml:space="preserve">Li W.; Dai Z.; Wang X.; Ko S.; Paudyal S.; Yao X.; Leschied C.; Shen Y.Y.; Pimentel D.; Kan A.T.; Tomson M.</t>
  </si>
  <si>
    <t xml:space="preserve">Observations of co2 corrosion-induced carbonate scale formation and inhibition on mild steel</t>
  </si>
  <si>
    <t xml:space="preserve">10.2118/209821-PA</t>
  </si>
  <si>
    <t xml:space="preserve">CO2 corrosion-induced carbonate scale formation/inhibition, mild steel, O&amp;G</t>
  </si>
  <si>
    <t xml:space="preserve">U223</t>
  </si>
  <si>
    <t xml:space="preserve">ML prediction of scale precipitation thermodynamic properties, oil and gas</t>
  </si>
  <si>
    <t xml:space="preserve">U224</t>
  </si>
  <si>
    <t xml:space="preserve">Alerigi D.P.S.R.; Mutairi S.; Batarseh S.; Assiri W.</t>
  </si>
  <si>
    <t xml:space="preserve">Principles and Advantages of High-Power Lasers for Descaling Surface Equipment</t>
  </si>
  <si>
    <t xml:space="preserve">10.2118/209977-MS</t>
  </si>
  <si>
    <t xml:space="preserve">High-power laser descaling of surface equipment, sulfide/CaCO3 scale</t>
  </si>
  <si>
    <t xml:space="preserve">U225</t>
  </si>
  <si>
    <t xml:space="preserve">Alerigi D.P.S.R.; Batarseh S.; Assiri W.</t>
  </si>
  <si>
    <t xml:space="preserve">Duplicate of U224 - same tag</t>
  </si>
  <si>
    <t xml:space="preserve">U226</t>
  </si>
  <si>
    <t xml:space="preserve">Ferrer A.; Bennett B.</t>
  </si>
  <si>
    <t xml:space="preserve">Remediating Oilfield Deposition from the Laboratory Bench to the Field - Development of a Multifunctional Product</t>
  </si>
  <si>
    <t xml:space="preserve">10.2523/IPTC-22249-MS</t>
  </si>
  <si>
    <t xml:space="preserve">Remediating oilfield deposition lab-to-field, iron sulfide/scales, multifunctional</t>
  </si>
  <si>
    <t xml:space="preserve">U227</t>
  </si>
  <si>
    <t xml:space="preserve">Bakeev K.; Toprak O.; Lugo-Gonzalez V.; Espinosa F.; Ramirez F.; Danks L.; Zhang A.; Martinez E.; Vargas W.</t>
  </si>
  <si>
    <t xml:space="preserve">SCALE INHIBITION IN HIGH SOLIDS SLURRY - FINANCIAL AND PRODUCTION IMPACT IN A GOLD MINE OPERATION</t>
  </si>
  <si>
    <t xml:space="preserve">Proceedings of the 27th International Mining Congress and Exhibition of Turkey, IMCET 2022</t>
  </si>
  <si>
    <t xml:space="preserve">Scale inhibition in high-solids slurry, gold mine operation - mining, not oil/gas</t>
  </si>
  <si>
    <t xml:space="preserve">U228</t>
  </si>
  <si>
    <t xml:space="preserve">Perkins L.; Tyree R.; Ondash M.; Kreutzman L.</t>
  </si>
  <si>
    <t xml:space="preserve">Scale Remediation in the Marcellus Shale: Calcium Carbonate and Iron Sulfide</t>
  </si>
  <si>
    <t xml:space="preserve">SPE Eastern Regional Meeting</t>
  </si>
  <si>
    <t xml:space="preserve">10.2118/211870-MS</t>
  </si>
  <si>
    <t xml:space="preserve">Scale remediation in Marcellus Shale, CaCO3/FeS, explicit</t>
  </si>
  <si>
    <t xml:space="preserve">U229</t>
  </si>
  <si>
    <t xml:space="preserve">Moh D.Y.; Zhang H.; Wang S.; Yin X.; Qiao R.</t>
  </si>
  <si>
    <t xml:space="preserve">Soaking in CO2 huff-n-puff: A single-nanopore scale study</t>
  </si>
  <si>
    <t xml:space="preserve">10.1016/j.fuel.2021.122026</t>
  </si>
  <si>
    <t xml:space="preserve">CO2 huff-n-puff molecular dynamics in nanopore - fundamental, no scale focus</t>
  </si>
  <si>
    <t xml:space="preserve">U230</t>
  </si>
  <si>
    <t xml:space="preserve">Okocha C.; Thornton A.; Wylde J.</t>
  </si>
  <si>
    <t xml:space="preserve">Squeeze Deployed Sulfide Inhibitor Successfully Averts Challenging Sulfide Scale Deposition in Permian and Williston Unconventional Basins</t>
  </si>
  <si>
    <t xml:space="preserve">10.2118/211126-MS</t>
  </si>
  <si>
    <t xml:space="preserve">Squeeze-deployed sulfide inhibitor, Permian/Williston unconventional basins</t>
  </si>
  <si>
    <t xml:space="preserve">U231</t>
  </si>
  <si>
    <t xml:space="preserve">Ismail N.; Alshami A.S.; Hussein I.A.</t>
  </si>
  <si>
    <t xml:space="preserve">Synthesis and evaluation of a novel polyacrylamide functionalized nano-silica as a calcium carbonate inhibitor in upstream applications</t>
  </si>
  <si>
    <t xml:space="preserve">10.1016/j.petrol.2021.109864</t>
  </si>
  <si>
    <t xml:space="preserve">Polyacrylamide nano-silica CaCO3 inhibitor, upstream applications, explicit</t>
  </si>
  <si>
    <t xml:space="preserve">U232</t>
  </si>
  <si>
    <t xml:space="preserve">Talebi S.; Riahi S.; Rostami B.</t>
  </si>
  <si>
    <t xml:space="preserve">The Effect of Blending Polymeric and Phosphonate Scale Inhibitors on Fluid/Fluid and Rock/Fluid Interactions: A Comprehensive Experimental and Theoretical Study</t>
  </si>
  <si>
    <t xml:space="preserve">10.2118/210583-PA</t>
  </si>
  <si>
    <t xml:space="preserve">Blending polymeric/phosphonate SI, fluid/rock interactions, oil formations</t>
  </si>
  <si>
    <t xml:space="preserve">U233</t>
  </si>
  <si>
    <t xml:space="preserve">Heath S.; Mackay E.; Bagala S.</t>
  </si>
  <si>
    <t xml:space="preserve">The Future of Scale Control – The Impact of Net Zero</t>
  </si>
  <si>
    <t xml:space="preserve">10.2118/209492-MS</t>
  </si>
  <si>
    <t xml:space="preserve">Future of scale control and net-zero impact, oil and gas wells, explicit</t>
  </si>
  <si>
    <t xml:space="preserve">U234</t>
  </si>
  <si>
    <t xml:space="preserve">Ness G.; Sorbie K.S.; Al Mesmari A.H.; Masalmeh S.</t>
  </si>
  <si>
    <t xml:space="preserve">The Impact of CCUS for Improved Oil Recovery on CaCO3 Scaling Potential of Produced Fluids</t>
  </si>
  <si>
    <t xml:space="preserve">Society of Petroleum Engineers - SPE EuropEC - Europe Energy Conference featured at the 83rd EAGE Annual Conference and Exhibition, EURO 2022</t>
  </si>
  <si>
    <t xml:space="preserve">10.2118/209676-MS</t>
  </si>
  <si>
    <t xml:space="preserve">CCUS-EOR impact on CaCO3 scaling potential of produced fluids, explicit</t>
  </si>
  <si>
    <t xml:space="preserve">U235</t>
  </si>
  <si>
    <t xml:space="preserve">Kaasa B.; Somme B.; MacDonald R.; Kjørsvik K.; Saunes A.; Heath S.; Stamnes M.</t>
  </si>
  <si>
    <t xml:space="preserve">The Oda Field: From Scale Prediction to Reality - Why Squeezing was Not Necessary Despite a High Calcium Sulphate Risk</t>
  </si>
  <si>
    <t xml:space="preserve">10.2118/209507-MS</t>
  </si>
  <si>
    <t xml:space="preserve">Oda field scale prediction vs reality, CaSO4 squeeze, subsea well, explicit</t>
  </si>
  <si>
    <t xml:space="preserve">U236</t>
  </si>
  <si>
    <t xml:space="preserve">Onawole A.T.; Hussein I.A.; Saad M.A.; Ismail N.; Alshami A.; Nasser M.S.</t>
  </si>
  <si>
    <t xml:space="preserve">Theoretical Studies of a Silica Functionalized Acrylamide for Calcium Scale Inhibition</t>
  </si>
  <si>
    <t xml:space="preserve">10.3390/polym14122333</t>
  </si>
  <si>
    <t xml:space="preserve">Silica-functionalized acrylamide calcium scale inhibition DFT/AIMD, oilfield</t>
  </si>
  <si>
    <t xml:space="preserve">U237</t>
  </si>
  <si>
    <t xml:space="preserve">Zhao Y.; Dai Z.J.; Dai C.; Wang X.; Paudyal S.; Ko S.; Yao X.; Leschied C.; Kan A.; Tomson M.</t>
  </si>
  <si>
    <t xml:space="preserve">A Quantitative Study of Sr2+ Impact on Barite Crystallization and Inhibition Kinetics</t>
  </si>
  <si>
    <t xml:space="preserve">10.2118/204361-MS</t>
  </si>
  <si>
    <t xml:space="preserve">Sr2+ impact on barite crystallization/inhibition kinetics, MIC, oilfield explicit</t>
  </si>
  <si>
    <t xml:space="preserve">U238</t>
  </si>
  <si>
    <t xml:space="preserve">Zhao Y.; Dai Z.J.; Dai C.; Paudyal S.; Wang X.; Ko S.; Yao X.; Leschied C.; Kan A.; Tomson M.</t>
  </si>
  <si>
    <t xml:space="preserve">A Semiempirical Model for Predicting Celestite Scale Formation and Inhibition in Oilfield Operating Conditions</t>
  </si>
  <si>
    <t xml:space="preserve">10.2118/SPE-204372-MS</t>
  </si>
  <si>
    <t xml:space="preserve">Semiempirical model celestite scale formation/inhibition, MIC, oilfield conditions</t>
  </si>
  <si>
    <t xml:space="preserve">U239</t>
  </si>
  <si>
    <t xml:space="preserve">Zotzmann J.; Hastreiter N.; Mayanna S.; Reinsch T.; Regenspurg S.</t>
  </si>
  <si>
    <t xml:space="preserve">A fibre-optical method for monitoring barite precipitation at high pressure/high temperature conditions</t>
  </si>
  <si>
    <t xml:space="preserve">10.1016/j.apgeochem.2021.104906</t>
  </si>
  <si>
    <t xml:space="preserve">Fibre-optical monitoring of barite precipitation at HPHT, oil and gas/geothermal</t>
  </si>
  <si>
    <t xml:space="preserve">U240</t>
  </si>
  <si>
    <t xml:space="preserve">Coupled model for permeability-impairment from mineral scale, water-injection wells</t>
  </si>
  <si>
    <t xml:space="preserve">U241</t>
  </si>
  <si>
    <t xml:space="preserve">Paredes M.P.; da Silva L.B.M.; Del Rosario Egas L.; Endara E.A.; Escalona P.L.; Maulidani O.A.; Pineda A.J.; Estevez D.R.; Guaman J.C.; Carrion J.J.; Freire C.J.; Villamar F.A.</t>
  </si>
  <si>
    <t xml:space="preserve">A novel chemical treatment and well completion strategy to prevent scale and production losses in Shushufindi Aguarico field</t>
  </si>
  <si>
    <t xml:space="preserve">Society of Petroleum Engineers - SPE/IATMI Asia Pacific Oil and Gas Conference and Exhibition 2021, APOG 2021</t>
  </si>
  <si>
    <t xml:space="preserve">10.2118/205815-MS</t>
  </si>
  <si>
    <t xml:space="preserve">Near-duplicate of U189 (Shushufindi field chemical treatment) - same tag</t>
  </si>
  <si>
    <t xml:space="preserve">U242</t>
  </si>
  <si>
    <t xml:space="preserve">Yue Z.D.; Slocum A.; Tian X.L.; Ke L.; Westerman M.; Hazlewood J.</t>
  </si>
  <si>
    <t xml:space="preserve">An Integrated Scale Protection Package for Offshore Fractured Wells Under Designed Shut-In Extension</t>
  </si>
  <si>
    <t xml:space="preserve">10.2118/SPE-204363-MS</t>
  </si>
  <si>
    <t xml:space="preserve">Integrated scale protection package, offshore fractured wells shut-in, explicit</t>
  </si>
  <si>
    <t xml:space="preserve">U243</t>
  </si>
  <si>
    <t xml:space="preserve">Antiscaling evaluation, nitrogen-free organophosphorus, petroleum industry</t>
  </si>
  <si>
    <t xml:space="preserve">U244</t>
  </si>
  <si>
    <t xml:space="preserve">Tranter M.; De Lucia M.; Kühn M.</t>
  </si>
  <si>
    <t xml:space="preserve">Barite scaling potential modelled for fractured-porous geothermal reservoirs</t>
  </si>
  <si>
    <t xml:space="preserve">10.3390/min11111198</t>
  </si>
  <si>
    <t xml:space="preserve">Barite scaling modelled, fractured-porous geothermal reservoirs - geothermal</t>
  </si>
  <si>
    <t xml:space="preserve">U245</t>
  </si>
  <si>
    <t xml:space="preserve">Rodriguez E.; Johnson A.; Porras E.; Xicará J.; Acuña F.</t>
  </si>
  <si>
    <t xml:space="preserve">Calcium carbonate inhibition at orzunil geothermal field</t>
  </si>
  <si>
    <t xml:space="preserve">CaCO3 inhibition at Orzunil geothermal field - geothermal industry</t>
  </si>
  <si>
    <t xml:space="preserve">U246</t>
  </si>
  <si>
    <t xml:space="preserve">Scaling/corrosion indices, groundwater - transferable methodology, not oilfield</t>
  </si>
  <si>
    <t xml:space="preserve">U247</t>
  </si>
  <si>
    <t xml:space="preserve">Computational screening of inhibitors, pyrite scale, oil and gas wells</t>
  </si>
  <si>
    <t xml:space="preserve">U248</t>
  </si>
  <si>
    <t xml:space="preserve">Chauhan V.; Saevarsdottir G.; Tesfahunegn Y.A.; Asbjornsson E.; Gudjonsdottir M.</t>
  </si>
  <si>
    <t xml:space="preserve">Computational study of two-phase flashing flow in a calcite scaled geothermal wellbore</t>
  </si>
  <si>
    <t xml:space="preserve">10.1016/j.geothermics.2021.102239</t>
  </si>
  <si>
    <t xml:space="preserve">Two-phase flashing flow, calcite-scaled geothermal wellbore CFD - geothermal</t>
  </si>
  <si>
    <t xml:space="preserve">U249</t>
  </si>
  <si>
    <t xml:space="preserve">Coelho F.M.C.; Sepehrnoori K.; Ezekoye O.A.</t>
  </si>
  <si>
    <t xml:space="preserve">Coupled geochemical and compositional wellbore simulators: A case study on scaling tendencies under water evaporation and CO2 dissolution</t>
  </si>
  <si>
    <t xml:space="preserve">10.1016/j.petrol.2021.108569</t>
  </si>
  <si>
    <t xml:space="preserve">Coupled geochemical/compositional wellbore simulators, Oil &amp; Gas Industry explicit</t>
  </si>
  <si>
    <t xml:space="preserve">U250</t>
  </si>
  <si>
    <t xml:space="preserve">Al-Mhyawi S.R.; Mubarak M.F.; Hosny R.; Amine M.; Abdelraheem O.H.; Zayed M.A.; Ragab A.H.; El Shahawy A.</t>
  </si>
  <si>
    <t xml:space="preserve">Enhanced nanofiltration process of thin film composite membrane using dodecyl phenol ethoxylate and oleic acid ethoxylate for oilfield calcite scale control</t>
  </si>
  <si>
    <t xml:space="preserve">Membranes</t>
  </si>
  <si>
    <t xml:space="preserve">10.3390/membranes11110855</t>
  </si>
  <si>
    <t xml:space="preserve">Nanofiltration membrane, calcite scale control, oilfield application explicit</t>
  </si>
  <si>
    <t xml:space="preserve">U251</t>
  </si>
  <si>
    <t xml:space="preserve">Sun H.; Liu Y.; Liu D.; Li S.; Li X.; Chen H.; Han Z.; Li L.; Li X.</t>
  </si>
  <si>
    <t xml:space="preserve">Enhanced removal of scaling cations from oilfield produced water by carrier mineral floatation</t>
  </si>
  <si>
    <t xml:space="preserve">Water Science and Technology</t>
  </si>
  <si>
    <t xml:space="preserve">10.2166/wst.2021.478</t>
  </si>
  <si>
    <t xml:space="preserve">Removal of scaling cations, oilfield produced water, carrier flotation</t>
  </si>
  <si>
    <t xml:space="preserve">U252</t>
  </si>
  <si>
    <t xml:space="preserve">Experimental/modelling CaCO3 formation damage, carbonate reservoirs waterflooding</t>
  </si>
  <si>
    <t xml:space="preserve">U253</t>
  </si>
  <si>
    <t xml:space="preserve">Neerup R.; Figueroa-Murcia C.; Løge I.A.; Fosbøl P.L.</t>
  </si>
  <si>
    <t xml:space="preserve">FeCO3 mineralization and solubility - a guiding factor CO2 corrosion and storage</t>
  </si>
  <si>
    <t xml:space="preserve">15th Greenhouse Gas Control Technologies Conference 2021, GHGT 2021</t>
  </si>
  <si>
    <t xml:space="preserve">FeCO3 mineralization/solubility - primarily CO2 corrosion/storage focus</t>
  </si>
  <si>
    <t xml:space="preserve">U254</t>
  </si>
  <si>
    <t xml:space="preserve">Banks J.; Poulette S.; Grimmer J.; Bauer F.; Schill E.</t>
  </si>
  <si>
    <t xml:space="preserve">Geochemical changes associated with high-temperature heat storage at intermediate depth: Thermodynamic equilibrium models for the deepstor site in the upper rhine graben, Germany</t>
  </si>
  <si>
    <t xml:space="preserve">10.3390/en14196089</t>
  </si>
  <si>
    <t xml:space="preserve">Geochemical changes for heat storage, Upper Rhine Graben - no scale focus</t>
  </si>
  <si>
    <t xml:space="preserve">U255</t>
  </si>
  <si>
    <t xml:space="preserve">Liu Y.; Vilain R.; Shen D.</t>
  </si>
  <si>
    <t xml:space="preserve">How Does EOR Polymer Impact Scale Control During ASP Flooding?</t>
  </si>
  <si>
    <t xml:space="preserve">10.2118/204350-MS</t>
  </si>
  <si>
    <t xml:space="preserve">EOR polymer impact on scale control, ASP flooding, explicit</t>
  </si>
  <si>
    <t xml:space="preserve">U256</t>
  </si>
  <si>
    <t xml:space="preserve">Al Kalbani M.; Al Shabibi H.; Ishkov O.; Silva D.; Mackay E.; Baraka-Lokmane S.; Pedenaud P.</t>
  </si>
  <si>
    <t xml:space="preserve">Impact of relaxation of low-sulfate seawater parameters on scaling risk</t>
  </si>
  <si>
    <t xml:space="preserve">10.2118/200695-PA</t>
  </si>
  <si>
    <t xml:space="preserve">Low-sulfate seawater relaxation, scaling risk, barium sulfate production wells</t>
  </si>
  <si>
    <t xml:space="preserve">U257</t>
  </si>
  <si>
    <t xml:space="preserve">Turbulent flow from gas lift on SrSO4 scale formation, production tubing</t>
  </si>
  <si>
    <t xml:space="preserve">U258</t>
  </si>
  <si>
    <t xml:space="preserve">Inhibition performance, simultaneous CaSO4/SrSO4 precipitation, lab+field</t>
  </si>
  <si>
    <t xml:space="preserve">U259</t>
  </si>
  <si>
    <t xml:space="preserve">Kamali M.J.; Zahedzadeh M.; Roayaei E.; Golghanddashti H.</t>
  </si>
  <si>
    <t xml:space="preserve">Inhibition of calcium sulfate deposition in porous media</t>
  </si>
  <si>
    <t xml:space="preserve">Special Topics and Reviews in Porous Media</t>
  </si>
  <si>
    <t xml:space="preserve">10.1615/SpecialTopicsRevPorousMedia.2021029895</t>
  </si>
  <si>
    <t xml:space="preserve">Inhibition of CaSO4 deposition in porous media, sandstone reservoirs</t>
  </si>
  <si>
    <t xml:space="preserve">U260</t>
  </si>
  <si>
    <t xml:space="preserve">Rahmawati S.D.; Santoso R.K.; Tanjungsari F.</t>
  </si>
  <si>
    <t xml:space="preserve">Integrated CO2-H2S corrosion-erosion modeling in gas production tubing and pipeline by considering passive layer activity</t>
  </si>
  <si>
    <t xml:space="preserve">10.1007/s13202-021-01230-1</t>
  </si>
  <si>
    <t xml:space="preserve">CO2-H2S corrosion-erosion modeling, gas tubing/pipeline - no mineral scale focus</t>
  </si>
  <si>
    <t xml:space="preserve">U261</t>
  </si>
  <si>
    <t xml:space="preserve">Antiscaling performance, phosphonated chitosan, upstream petroleum industry</t>
  </si>
  <si>
    <t xml:space="preserve">U262</t>
  </si>
  <si>
    <t xml:space="preserve">Beteta A.; Boak L.; McIver K.; Jordan M.; Shields R.</t>
  </si>
  <si>
    <t xml:space="preserve">Mechanistic Understanding of the Impact of EOR Polymer on the Inhibition Mechanism and Performance of Phosphonate Scale Inhibitors</t>
  </si>
  <si>
    <t xml:space="preserve">10.2118/SPE-204383-MS</t>
  </si>
  <si>
    <t xml:space="preserve">EOR polymer impact on phosphonate SI mechanism, barium sulfate/CaCO3</t>
  </si>
  <si>
    <t xml:space="preserve">U263</t>
  </si>
  <si>
    <t xml:space="preserve">Liu L.; Zhang L.; Zhang G.; Han L.; Yu T.; Qu C.</t>
  </si>
  <si>
    <t xml:space="preserve">Mixed scaling control technology of produced water in different layers of the Dingbian oil production plant</t>
  </si>
  <si>
    <t xml:space="preserve">IOP Conference Series: Earth and Environmental Science</t>
  </si>
  <si>
    <t xml:space="preserve">10.1088/1755-1315/859/1/012033</t>
  </si>
  <si>
    <t xml:space="preserve">Mixed scaling control technology, produced water, Dingbian oil production plant</t>
  </si>
  <si>
    <t xml:space="preserve">U264</t>
  </si>
  <si>
    <t xml:space="preserve">Al Kalbani M.; Jordan M.; Mackay E.; Sorbie K.; Nghiem L.</t>
  </si>
  <si>
    <t xml:space="preserve">Modelling the impact of Alkaline-surfactant and Alkaline-surfactant-polymer flooding processes on scale precipitation and management</t>
  </si>
  <si>
    <t xml:space="preserve">10.1016/j.petrol.2021.108777</t>
  </si>
  <si>
    <t xml:space="preserve">ASP flooding impact on scale precipitation and management, explicit</t>
  </si>
  <si>
    <t xml:space="preserve">U265</t>
  </si>
  <si>
    <t xml:space="preserve">Novel mineral scale deposition model, flow conditions with/without SI, oil and gas</t>
  </si>
  <si>
    <t xml:space="preserve">U266</t>
  </si>
  <si>
    <t xml:space="preserve">Nucleation/crystallization kinetics of BaSO4, hydrodynamic boundary layer</t>
  </si>
  <si>
    <t xml:space="preserve">U267</t>
  </si>
  <si>
    <t xml:space="preserve">Khasani; Deendarlianto; Itoi R.</t>
  </si>
  <si>
    <t xml:space="preserve">Numerical study of the effects of CO2 gas in geothermal water on the fluid-flow characteristics in production wells</t>
  </si>
  <si>
    <t xml:space="preserve">Engineering Applications of Computational Fluid Mechanics</t>
  </si>
  <si>
    <t xml:space="preserve">10.1080/19942060.2020.1862709</t>
  </si>
  <si>
    <t xml:space="preserve">CO2 gas in geothermal water, fluid-flow in production wells - geothermal</t>
  </si>
  <si>
    <t xml:space="preserve">U268</t>
  </si>
  <si>
    <t xml:space="preserve">Jordan M.M.; Sutherland L.; Johnston C.J.</t>
  </si>
  <si>
    <t xml:space="preserve">Online Cleaning of Carbonate Deposits. The Potential and Limitations of a Novel Cleaning Method</t>
  </si>
  <si>
    <t xml:space="preserve">10.2118/SPE-204365-MS</t>
  </si>
  <si>
    <t xml:space="preserve">Online cleaning of carbonate deposits, topside heaters, flow assurance</t>
  </si>
  <si>
    <t xml:space="preserve">U269</t>
  </si>
  <si>
    <t xml:space="preserve">Wang Y.; Li X.; Lu J.</t>
  </si>
  <si>
    <t xml:space="preserve">Physicochemical Modeling of Barium and Sulfate Transport in Porous Media and Its Application in Seawater-Breakthrough Monitoring</t>
  </si>
  <si>
    <t xml:space="preserve">10.2118/205482-PA</t>
  </si>
  <si>
    <t xml:space="preserve">Physicochemical modeling of Ba/sulfate transport, seawater-breakthrough offshore</t>
  </si>
  <si>
    <t xml:space="preserve">U270</t>
  </si>
  <si>
    <t xml:space="preserve">Hakala J.A.; Paukert Vankeuren A.N.; Scheuermann P.P.; Lopano C.; Guthrie G.D.</t>
  </si>
  <si>
    <t xml:space="preserve">Predicting the potential for mineral scale precipitation in unconventional reservoirs due to fluid-rock and fluid mixing geochemical reactions</t>
  </si>
  <si>
    <t xml:space="preserve">10.1016/j.fuel.2020.118883</t>
  </si>
  <si>
    <t xml:space="preserve">Predicting mineral scale precipitation, unconventional reservoirs, Marcellus Shale</t>
  </si>
  <si>
    <t xml:space="preserve">U271</t>
  </si>
  <si>
    <t xml:space="preserve">Ramachandran S.; Schorling P.; Mok W.; Liu Z.; Menendez C.; Stewart-Ayala J.; McCabe B.; Klapper H.S.</t>
  </si>
  <si>
    <t xml:space="preserve">Prevention and mitigation of scaling and corrosion using corrosion and scale inhibitors</t>
  </si>
  <si>
    <t xml:space="preserve">Prevention/mitigation of scaling and corrosion - geothermal project focus</t>
  </si>
  <si>
    <t xml:space="preserve">U272</t>
  </si>
  <si>
    <t xml:space="preserve">Real-time monitoring of electrochemically induced CaCO3 deposition, O&amp;G wells</t>
  </si>
  <si>
    <t xml:space="preserve">U273</t>
  </si>
  <si>
    <t xml:space="preserve">Scale Control for Long Term Well and Facility Preservation</t>
  </si>
  <si>
    <t xml:space="preserve">10.2118/204282-MS</t>
  </si>
  <si>
    <t xml:space="preserve">Scale control for long-term well/facility preservation, oil and gas wells</t>
  </si>
  <si>
    <t xml:space="preserve">U274</t>
  </si>
  <si>
    <t xml:space="preserve">Ketrane R.; Yahiaoui C.</t>
  </si>
  <si>
    <t xml:space="preserve">Scale precipitation on HDPE pipe by degassing of CO2 dissolved in water</t>
  </si>
  <si>
    <t xml:space="preserve">Aqua Water Infrastructure, Ecosystems and Society</t>
  </si>
  <si>
    <t xml:space="preserve">10.2166/aqua.2021.042</t>
  </si>
  <si>
    <t xml:space="preserve">Scale precipitation on HDPE drinking water pipes, Algeria - not oilfield</t>
  </si>
  <si>
    <t xml:space="preserve">U275</t>
  </si>
  <si>
    <t xml:space="preserve">Spinthaki A.; Kamaratou M.; Skordalou G.; Petratos G.; Petrou I.; Tramaux A.; David G.; Demadis K.D.</t>
  </si>
  <si>
    <t xml:space="preserve">Searching for a universal scale inhibitor: A multi-scale approach towards inhibitor efficiency</t>
  </si>
  <si>
    <t xml:space="preserve">10.1016/j.geothermics.2020.101954</t>
  </si>
  <si>
    <t xml:space="preserve">Universal scale inhibitor, multi-scale approach - primary focus geothermal energy</t>
  </si>
  <si>
    <t xml:space="preserve">U276</t>
  </si>
  <si>
    <t xml:space="preserve">Zhao Y.; Dai Z.; Dai C.; Paudyal S.; Wang X.; Ko S.; Kan A.T.; Tomson M.</t>
  </si>
  <si>
    <t xml:space="preserve">Semiempirical Model for Predicting Celestite Scale Formation and Inhibition in Oilfield Conditions</t>
  </si>
  <si>
    <t xml:space="preserve">10.1021/acs.energyfuels.1c01375</t>
  </si>
  <si>
    <t xml:space="preserve">Semiempirical model, celestite scale formation/inhibition, oilfield conditions</t>
  </si>
  <si>
    <t xml:space="preserve">U277</t>
  </si>
  <si>
    <t xml:space="preserve">Mady M.F.; Rehman A.; Kelland M.A.</t>
  </si>
  <si>
    <t xml:space="preserve">Synthesis and Antiscaling Evaluation of Novel Hydroxybisphosphonates for Oilfield Applications</t>
  </si>
  <si>
    <t xml:space="preserve">10.1021/acsomega.1c00379</t>
  </si>
  <si>
    <t xml:space="preserve">Synthesis/antiscaling of hydroxybisphosphonates, oilfield applications</t>
  </si>
  <si>
    <t xml:space="preserve">U278</t>
  </si>
  <si>
    <t xml:space="preserve">The Evolution of CaCO3 Scaling Potential in ADNOC Reservoirs under Water Flooding and CO2 WAG Scenarios</t>
  </si>
  <si>
    <t xml:space="preserve">Society of Petroleum Engineers - Abu Dhabi International Petroleum Exhibition and Conference, ADIP 2021</t>
  </si>
  <si>
    <t xml:space="preserve">10.2118/208193-MS</t>
  </si>
  <si>
    <t xml:space="preserve">CaCO3 scaling potential, ADNOC reservoirs, waterflooding/CO2 WAG, explicit</t>
  </si>
  <si>
    <t xml:space="preserve">U279</t>
  </si>
  <si>
    <t xml:space="preserve">Gamal H.; Elkatatny S.; Al-Afnan S.; Bahgat M.</t>
  </si>
  <si>
    <t xml:space="preserve">Toward Developing Non-Corrosive Acid System for Complex Scales Removal</t>
  </si>
  <si>
    <t xml:space="preserve">International Petroleum Technology Conference, IPTC 2021</t>
  </si>
  <si>
    <t xml:space="preserve">10.2523/IPTC-21400-MS</t>
  </si>
  <si>
    <t xml:space="preserve">Non-corrosive acid system for complex scale removal, oil and gas industry</t>
  </si>
  <si>
    <t xml:space="preserve">U280</t>
  </si>
  <si>
    <t xml:space="preserve">Chauhan V.; Saevarsdottir G.; Gudjonsdottir M.</t>
  </si>
  <si>
    <t xml:space="preserve">Two-phase fluid flow and phase transition characteristics affecting calcite deposition rate in a geothermal wellbore</t>
  </si>
  <si>
    <t xml:space="preserve">Two-phase flow/phase transition affecting calcite deposition - geothermal wellbore</t>
  </si>
  <si>
    <t xml:space="preserve">U281</t>
  </si>
  <si>
    <t xml:space="preserve">Adegoke S.O.; Falode O.A.; Nwankwo P.C.</t>
  </si>
  <si>
    <t xml:space="preserve">Understanding oilfield scale deposition and inhibition mechanisms for optimum management: A review</t>
  </si>
  <si>
    <t xml:space="preserve">Society of Petroleum Engineers - SPE Nigeria Annual International Conference and Exhibition 2021, NAIC 2021</t>
  </si>
  <si>
    <t xml:space="preserve">10.2118/207133-MS</t>
  </si>
  <si>
    <t xml:space="preserve">Review: oilfield scale deposition and inhibition mechanisms, explicit</t>
  </si>
  <si>
    <t xml:space="preserve">U282</t>
  </si>
  <si>
    <t xml:space="preserve">Kang W.; Wang T.; Zhang H.; Hou X.; Zhang X.; Zhu T.; Chen C.; Yang H.</t>
  </si>
  <si>
    <t xml:space="preserve">A dynamic scale location monitor method to predict oilfield blockage during water flooding</t>
  </si>
  <si>
    <t xml:space="preserve">10.1016/j.petrol.2020.107168</t>
  </si>
  <si>
    <t xml:space="preserve">Dynamic scale location monitor to predict oilfield blockage, waterflooding</t>
  </si>
  <si>
    <t xml:space="preserve">U283</t>
  </si>
  <si>
    <t xml:space="preserve">Reactive transport modeling, scale formation/deposition, water injection wells</t>
  </si>
  <si>
    <t xml:space="preserve">U284</t>
  </si>
  <si>
    <t xml:space="preserve">Lu H.; Patenaude T.; Watson B.; Gu Z.; Locklear J.</t>
  </si>
  <si>
    <t xml:space="preserve">A systematic investigation of barite and zinc sulfate scale inhibition in a produced water stripper</t>
  </si>
  <si>
    <t xml:space="preserve">Society of Petroleum Engineers - SPE International Oilfield Scale Conference and Exhibition, OSS 2020</t>
  </si>
  <si>
    <t xml:space="preserve">Systematic investigation, barite/zinc sulfate SI, produced water stripper</t>
  </si>
  <si>
    <t xml:space="preserve">U285</t>
  </si>
  <si>
    <t xml:space="preserve">Scaling potential for thermal wells, mechanistic study, explicit</t>
  </si>
  <si>
    <t xml:space="preserve">U286</t>
  </si>
  <si>
    <t xml:space="preserve">Tranter M.; De Lucia M.; Wolfgramm M.; Kühn M.</t>
  </si>
  <si>
    <t xml:space="preserve">Barite scale formation and injectivity loss models for geothermal systems</t>
  </si>
  <si>
    <t xml:space="preserve">10.3390/w12113078</t>
  </si>
  <si>
    <t xml:space="preserve">Barite scale formation/injectivity loss models - geothermal systems</t>
  </si>
  <si>
    <t xml:space="preserve">U287</t>
  </si>
  <si>
    <t xml:space="preserve">Al Kalbani M.M.; Jordan M.M.; Mackay E.J.; Sorbie K.S.; Nghiem L.</t>
  </si>
  <si>
    <t xml:space="preserve">Barium Sulfate Scaling and Control during Polymer, Surfactant, and Surfactant/Polymer Flooding</t>
  </si>
  <si>
    <t xml:space="preserve">10.2118/193575-PA</t>
  </si>
  <si>
    <t xml:space="preserve">BaSO4 scaling control, polymer/surfactant/SP flooding, oilfield production</t>
  </si>
  <si>
    <t xml:space="preserve">U288</t>
  </si>
  <si>
    <t xml:space="preserve">Lai N.; Wen Y.; Wang Y.; Zhao X.; Chen J.; Wang D.; Wang X.; Yu T.; Jia C.</t>
  </si>
  <si>
    <t xml:space="preserve">Calcium carbonate scaling kinetics in oilfield gathering pipelines by using a 1D axial dispersion model</t>
  </si>
  <si>
    <t xml:space="preserve">10.1016/j.petrol.2020.106925</t>
  </si>
  <si>
    <t xml:space="preserve">CaCO3 scaling kinetics, oilfield gathering pipelines, 1D axial dispersion model</t>
  </si>
  <si>
    <t xml:space="preserve">U289</t>
  </si>
  <si>
    <t xml:space="preserve">Case study: BaSO4 scale removal by dynamic underbalance, petroleum wells</t>
  </si>
  <si>
    <t xml:space="preserve">U290</t>
  </si>
  <si>
    <t xml:space="preserve">Yue Z.D.; Chen P.; Hagen T.; Huijgen M.; Al-Ghamdi T.; Hazlewood J.</t>
  </si>
  <si>
    <t xml:space="preserve">Coiled tubing squeeze intervention: A case history for prevention of mineral scales introduced by seawater injection in burgan reservoir</t>
  </si>
  <si>
    <t xml:space="preserve">Society of Petroleum Engineers - Abu Dhabi International Petroleum Exhibition and Conference 2020, ADIP 2020</t>
  </si>
  <si>
    <t xml:space="preserve">Coiled tubing squeeze intervention, mineral scales, seawater injection reservoir</t>
  </si>
  <si>
    <t xml:space="preserve">U291</t>
  </si>
  <si>
    <t xml:space="preserve">Ramstad K.; Sandengen K.; Mitchell A.F.; Moldrheim E.</t>
  </si>
  <si>
    <t xml:space="preserve">Correlating calcium carbonate scale risk with field experience data</t>
  </si>
  <si>
    <t xml:space="preserve">Correlating CaCO3 scale risk with field experience data, oil and gas industry</t>
  </si>
  <si>
    <t xml:space="preserve">U292</t>
  </si>
  <si>
    <t xml:space="preserve">Zakaria K.; Salem A.A.; Ramzi M.</t>
  </si>
  <si>
    <t xml:space="preserve">Cost-effective and eco-friendly organophosphorus-based inhibitors for mineral scaling in Egyptian oil reservoirs: Theoretical, experimental and quantum chemical studies</t>
  </si>
  <si>
    <t xml:space="preserve">10.1016/j.petrol.2020.107519</t>
  </si>
  <si>
    <t xml:space="preserve">Cost-effective organophosphorus inhibitors, mineral scaling, Egyptian oil reservoirs</t>
  </si>
  <si>
    <t xml:space="preserve">U293</t>
  </si>
  <si>
    <t xml:space="preserve">Al Hamad M.; Al-Sobhi S.A.; Onawole A.T.; Hussein I.A.; Khraisheh M.</t>
  </si>
  <si>
    <t xml:space="preserve">Density-Functional Theory Investigation of Barite Scale Inhibition Using Phosphonate and Carboxyl-Based Inhibitors</t>
  </si>
  <si>
    <t xml:space="preserve">10.1021/acsomega.0c05125</t>
  </si>
  <si>
    <t xml:space="preserve">DFT investigation, barite scale inhibition, oil and gas exploration/production</t>
  </si>
  <si>
    <t xml:space="preserve">U294</t>
  </si>
  <si>
    <t xml:space="preserve">Daniels J.K.; Feasey N.</t>
  </si>
  <si>
    <t xml:space="preserve">Development of scale inhibitor for high salinity high iron containing brines</t>
  </si>
  <si>
    <t xml:space="preserve">Development of SI for high salinity high iron brines, oil and gas production</t>
  </si>
  <si>
    <t xml:space="preserve">U295</t>
  </si>
  <si>
    <t xml:space="preserve">Paudyal S.; Mateen S.; Dai C.; Ko S.; Wang X.; Deng G.; Lu A.; Zhao Y.; Bingjie O.; Kan A.T.; Tomson M.B.</t>
  </si>
  <si>
    <t xml:space="preserve">Developments on calcium sulfate scaling prediction and control in oil and gas production</t>
  </si>
  <si>
    <t xml:space="preserve">Developments on CaSO4 scaling prediction/control, oil and gas production</t>
  </si>
  <si>
    <t xml:space="preserve">U296</t>
  </si>
  <si>
    <t xml:space="preserve">Lu A.Y.-T.; Paudyal S.; Ko S.; Dai C.; Ouyang B.; Deng G.; Zhao Y.; Wang X.; Mateen S.; Liu H.; Yo T.; Kan A.; Tomson M.</t>
  </si>
  <si>
    <t xml:space="preserve">Does barite scale deposit at a kinetic stable flow?</t>
  </si>
  <si>
    <t xml:space="preserve">Barite scale deposit at kinetic stable flow, oil well flow assurance</t>
  </si>
  <si>
    <t xml:space="preserve">U297</t>
  </si>
  <si>
    <t xml:space="preserve">Rodrigues H.; Mackay E.; Arnold D.; Azari V.; Vazquez O.</t>
  </si>
  <si>
    <t xml:space="preserve">Economic optimization and calcite scale management of CO2-EOR in carbonate reservoirs</t>
  </si>
  <si>
    <t xml:space="preserve">Economic optimization, calcite scale management, CO2-EOR carbonate reservoirs</t>
  </si>
  <si>
    <t xml:space="preserve">U298</t>
  </si>
  <si>
    <t xml:space="preserve">Almeida Cardoso G.S.; Freitas T.; do Rosário F.F.; Cajaiba J.</t>
  </si>
  <si>
    <t xml:space="preserve">Enhancing the permeability of a carbonate rock core by dissolution/precipitation treatment with organophosphorus additives evaluated by SEM/EDS and ICP-OES</t>
  </si>
  <si>
    <t xml:space="preserve">10.1016/j.petrol.2020.107341</t>
  </si>
  <si>
    <t xml:space="preserve">Enhancing carbonate rock core permeability, organophosphorus, petroleum reservoirs</t>
  </si>
  <si>
    <t xml:space="preserve">U299</t>
  </si>
  <si>
    <t xml:space="preserve">Environmentally friendly phosphonated polyetheramine SI, oilfield applications</t>
  </si>
  <si>
    <t xml:space="preserve">U300</t>
  </si>
  <si>
    <t xml:space="preserve">Evaluating scale deposition/tendency, effluent water, compatible injection water</t>
  </si>
  <si>
    <t xml:space="preserve">U301</t>
  </si>
  <si>
    <t xml:space="preserve">Halvorsen A.M.K.; Hauge K.; Andersen K.S.; Kaasa B.</t>
  </si>
  <si>
    <t xml:space="preserve">Evaluation of the need for scale inhibitor injection during formation water production in a subsea gas field using partly PH stabilised mono ethylene glycol</t>
  </si>
  <si>
    <t xml:space="preserve">Evaluation of SI injection need, formation water, subsea gas field MEG</t>
  </si>
  <si>
    <t xml:space="preserve">U302</t>
  </si>
  <si>
    <t xml:space="preserve">Fernandes R.S.; Beserra N.L.R.; Souza M.A.F.; Lima D.F.; Castro B.B.; Balaban R.C.</t>
  </si>
  <si>
    <t xml:space="preserve">Experimental and theoretical investigation of a copolymer combined with surfactant for preventing scale formation in oil wells</t>
  </si>
  <si>
    <t xml:space="preserve">10.1016/j.molliq.2020.114036</t>
  </si>
  <si>
    <t xml:space="preserve">Copolymer+surfactant preventing scale formation, oil wells, tube blocking pipeline</t>
  </si>
  <si>
    <t xml:space="preserve">U303</t>
  </si>
  <si>
    <t xml:space="preserve">Chen M.; Li X.; Tong S.; Mohanty K.; Wang Y.; Yang W.; Hazlett R.; Lu J.</t>
  </si>
  <si>
    <t xml:space="preserve">Experimental investigation and numerical modeling of barium sulfate deposition in porous media</t>
  </si>
  <si>
    <t xml:space="preserve">10.1016/j.petrol.2020.107920</t>
  </si>
  <si>
    <t xml:space="preserve">Experimental/numerical modeling, BaSO4 deposition in porous media, oil recovery</t>
  </si>
  <si>
    <t xml:space="preserve">U304</t>
  </si>
  <si>
    <t xml:space="preserve">Yang W.; Wang Y.; Fu C.; Lu J.</t>
  </si>
  <si>
    <t xml:space="preserve">Experimental investigation of the minimum inhibitor concentration in porous media</t>
  </si>
  <si>
    <t xml:space="preserve">Experimental investigation of MIC in porous media, scale inhibitor applications</t>
  </si>
  <si>
    <t xml:space="preserve">U305</t>
  </si>
  <si>
    <t xml:space="preserve">Al Nasser W.; Al Jeshi Y.</t>
  </si>
  <si>
    <t xml:space="preserve">Inline technique to evaluate the performance of scale inhibitors for calcium carbonate scale aggregation and prevention</t>
  </si>
  <si>
    <t xml:space="preserve">Chemical Engineering Research and Design</t>
  </si>
  <si>
    <t xml:space="preserve">10.1016/j.cherd.2020.02.012</t>
  </si>
  <si>
    <t xml:space="preserve">Inline technique to evaluate SI performance, CaCO3 - generic multi-industry framing</t>
  </si>
  <si>
    <t xml:space="preserve">U306</t>
  </si>
  <si>
    <t xml:space="preserve">Al-Ghamdi T.; Chen P.; Hagen T.; Hamam M.; Shakeel M.</t>
  </si>
  <si>
    <t xml:space="preserve">Iron carbonate scale inhibitor selection for low-permeability, high-temperature, low-pressure, and low water-cut gas wells in Chalk formation</t>
  </si>
  <si>
    <t xml:space="preserve">Iron carbonate SI selection, low-permeability HT gas wells, Chalk formation</t>
  </si>
  <si>
    <t xml:space="preserve">U307</t>
  </si>
  <si>
    <t xml:space="preserve">Kinetics of BaSO4 deposition/crystallization in flowing tube, flow assurance</t>
  </si>
  <si>
    <t xml:space="preserve">U308</t>
  </si>
  <si>
    <t xml:space="preserve">Zhang Z.; Kan A.T.; Tomson M.B.; Zhang P.</t>
  </si>
  <si>
    <t xml:space="preserve">Laboratory investigation of co-precipitation of CaCO3/BaCO3mineral scale solids at oilfield operating conditions: Impact of brine chemistry</t>
  </si>
  <si>
    <t xml:space="preserve">Oil and Gas Science and Technology</t>
  </si>
  <si>
    <t xml:space="preserve">10.2516/ogst/2020075</t>
  </si>
  <si>
    <t xml:space="preserve">Co-precipitation of CaCO3/BaCO3, oilfield operating conditions, explicit</t>
  </si>
  <si>
    <t xml:space="preserve">U309</t>
  </si>
  <si>
    <t xml:space="preserve">Dastjerdi A.M.; Kargozarfard Z.; Najafi B.; Taghikhani V.; Ayatollahi S.</t>
  </si>
  <si>
    <t xml:space="preserve">Microscopic Insight into Kinetics of Inorganic Scale Deposition during Smart Water Injection Using Dynamic Quartz Crystal Microbalance and Molecular Dynamics Simulation</t>
  </si>
  <si>
    <t xml:space="preserve">10.1021/acs.iecr.9b05236</t>
  </si>
  <si>
    <t xml:space="preserve">Kinetics of inorganic scale deposition, smart water injection, oil reservoirs QCM/MD</t>
  </si>
  <si>
    <t xml:space="preserve">U310</t>
  </si>
  <si>
    <t xml:space="preserve">Mineral solubility measurement/prediction, HPHT reservoir conditions, near-wellbore</t>
  </si>
  <si>
    <t xml:space="preserve">U311</t>
  </si>
  <si>
    <t xml:space="preserve">Al Kalbani M.M.; Jordan M.M.; Mackay E.J.; Sorbie K.S.; Nghiem L.X.</t>
  </si>
  <si>
    <t xml:space="preserve">Modelling the impact of alkaline-surfactant and alkaline-surfactant-polymer flooding processes on scale precipitation and management</t>
  </si>
  <si>
    <t xml:space="preserve">Duplicate of U264 (ASP flooding impact on scale) - same tag</t>
  </si>
  <si>
    <t xml:space="preserve">U312</t>
  </si>
  <si>
    <t xml:space="preserve">Li C.; Wang B.; Jia W.; Li G.</t>
  </si>
  <si>
    <t xml:space="preserve">Predicting the scaling rate of calcium carbonate in wet-gas pipes via a CFD method</t>
  </si>
  <si>
    <t xml:space="preserve">10.5004/dwt.2020.25958</t>
  </si>
  <si>
    <t xml:space="preserve">Predicting scaling rate of CaCO3 in wet-gas pipes via CFD method - core methodology</t>
  </si>
  <si>
    <t xml:space="preserve">U313</t>
  </si>
  <si>
    <t xml:space="preserve">Ko S.; Wang X.; Zhao Y.; Dai C.; Lu Y.-T.; Deng G.; Paudyal S.; Mateen S.; Kan A.T.; Tomson M.B.</t>
  </si>
  <si>
    <t xml:space="preserve">Prevention of mineral scale deposition using dispersants and inhibitors</t>
  </si>
  <si>
    <t xml:space="preserve">Prevention of mineral scale deposition, dispersants/inhibitors, oil and gas wells</t>
  </si>
  <si>
    <t xml:space="preserve">U314</t>
  </si>
  <si>
    <t xml:space="preserve">Elsarawy A.M.; Hisham A.; El-Din N.</t>
  </si>
  <si>
    <t xml:space="preserve">Proppant Diagenesis in Carbonate-Rich Eagle Ford Shale Fractures</t>
  </si>
  <si>
    <t xml:space="preserve">SPE Drilling and Completion</t>
  </si>
  <si>
    <t xml:space="preserve">10.2118/200481-PA</t>
  </si>
  <si>
    <t xml:space="preserve">Proppant diagenesis, Eagle Ford shale fractures - different phenomenon, not flow-assurance scale</t>
  </si>
  <si>
    <t xml:space="preserve">U315</t>
  </si>
  <si>
    <t xml:space="preserve">Li Y.; Pang Z.; Galeczka I.M.</t>
  </si>
  <si>
    <t xml:space="preserve">Quantitative assessment of calcite scaling of a high temperature geothermal well in the Kangding geothermal field of Eastern Himalayan Syntax</t>
  </si>
  <si>
    <t xml:space="preserve">10.1016/j.geothermics.2020.101844</t>
  </si>
  <si>
    <t xml:space="preserve">Quantitative assessment of calcite scaling, high-temp geothermal well, China</t>
  </si>
  <si>
    <t xml:space="preserve">U316</t>
  </si>
  <si>
    <t xml:space="preserve">Chen T.; Wang Q.; Chang F.; Aljeaban N.; Alnoaimi K.</t>
  </si>
  <si>
    <t xml:space="preserve">Recent development and remaining challenges of iron sulfide scale mitigation in sour-gas wells</t>
  </si>
  <si>
    <t xml:space="preserve">10.2118/199365-PA</t>
  </si>
  <si>
    <t xml:space="preserve">Iron sulfide scale mitigation in sour-gas wells, review, explicit</t>
  </si>
  <si>
    <t xml:space="preserve">U317</t>
  </si>
  <si>
    <t xml:space="preserve">Tambach T.J.; Fadili A.; Gdanski R.D.; Kampman N.; Koot W.; Snippe J.R.; de Zwart B.-R.H.</t>
  </si>
  <si>
    <t xml:space="preserve">Scale control using reactive transport modeling: Lessons learned from field studies</t>
  </si>
  <si>
    <t xml:space="preserve">Scale control using reactive transport modeling, lessons from field studies, O&amp;G</t>
  </si>
  <si>
    <t xml:space="preserve">U318</t>
  </si>
  <si>
    <t xml:space="preserve">Wang W.; Wei W.; Yan C.</t>
  </si>
  <si>
    <t xml:space="preserve">Scale prediction and management for unconventional production</t>
  </si>
  <si>
    <t xml:space="preserve">Scale prediction and management for unconventional production, explicit</t>
  </si>
  <si>
    <t xml:space="preserve">U319</t>
  </si>
  <si>
    <t xml:space="preserve">Removing CaCO3 plug near wellbore, high-power ultrasonic treatment, explicit</t>
  </si>
  <si>
    <t xml:space="preserve">U320</t>
  </si>
  <si>
    <t xml:space="preserve">Safari M.; Rahimi A.; Lah R.M.; Gholami R.; Khur W.S.</t>
  </si>
  <si>
    <t xml:space="preserve">Sustaining sulfate ions throughout smart water flooding by nanoparticle based scale inhibitors</t>
  </si>
  <si>
    <t xml:space="preserve">10.1016/j.molliq.2020.113250</t>
  </si>
  <si>
    <t xml:space="preserve">Sustaining sulfate ions in smart water flooding, nanoparticle-based SI, explicit</t>
  </si>
  <si>
    <t xml:space="preserve">U321</t>
  </si>
  <si>
    <t xml:space="preserve">Aljeban N.; Al-Harbi B.; Chen T.; Balharth S.</t>
  </si>
  <si>
    <t xml:space="preserve">Systematic calcium carbonate scale risk evaluation from downhole to topside flowline</t>
  </si>
  <si>
    <t xml:space="preserve">Society of Petroleum Engineers - SPE Asia Pacific Oil and Gas Conference and Exhibition 2020, APOG 2020</t>
  </si>
  <si>
    <t xml:space="preserve">Systematic CaCO3 scale risk evaluation, downhole to topside flowline, explicit</t>
  </si>
  <si>
    <t xml:space="preserve">U322</t>
  </si>
  <si>
    <t xml:space="preserve">Pang L.; Zheng Y.; Chang M.; Wang Z.</t>
  </si>
  <si>
    <t xml:space="preserve">The Role of Carbon Steel Corrosion Process on CaCO3 Scaling in Deoxidized Oilfield Injection Water</t>
  </si>
  <si>
    <t xml:space="preserve">10.1002/slct.202002489</t>
  </si>
  <si>
    <t xml:space="preserve">Carbon steel corrosion process effect on CaCO3 scaling, oilfield injection water</t>
  </si>
  <si>
    <t xml:space="preserve">U323</t>
  </si>
  <si>
    <t xml:space="preserve">Mpelwa M.; Tang S.; Jin L.</t>
  </si>
  <si>
    <t xml:space="preserve">The study on multifunctional aminoalkylenephosphonate-based antiscalant for industrial water systems under harsh conditions</t>
  </si>
  <si>
    <t xml:space="preserve">International Journal of Industrial Chemistry</t>
  </si>
  <si>
    <t xml:space="preserve">10.1007/s40090-020-00208-y</t>
  </si>
  <si>
    <t xml:space="preserve">Multifunctional aminoalkylenephosphonate antiscalant, oil and gas producing wells</t>
  </si>
  <si>
    <t xml:space="preserve">U324</t>
  </si>
  <si>
    <t xml:space="preserve">Muhemmed S.; Harish Kumar T.; Hisham Nasr-El-Din A.</t>
  </si>
  <si>
    <t xml:space="preserve">Towards a deterministic approach to calcite scaling in the porous media during CO2 sequestration and immiscible CO2 flooding</t>
  </si>
  <si>
    <t xml:space="preserve">Offshore Technology Conference Brasil 2019, OTCB 2019</t>
  </si>
  <si>
    <t xml:space="preserve">Deterministic approach to calcite scaling, porous media, CO2 sequestration/flooding</t>
  </si>
  <si>
    <t xml:space="preserve">U325</t>
  </si>
  <si>
    <t xml:space="preserve">Biochar sorption of Ba/Sr, protection against scale formation, petroleum industry</t>
  </si>
  <si>
    <t xml:space="preserve">U326</t>
  </si>
  <si>
    <t xml:space="preserve">Barber M.; Heath S.</t>
  </si>
  <si>
    <t xml:space="preserve">A new approach to testing scale inhibitors in mild scaling brines – are dynamic scale loop tests needed?</t>
  </si>
  <si>
    <t xml:space="preserve">10.2118/193580-ms</t>
  </si>
  <si>
    <t xml:space="preserve">Testing scale inhibitors in mild scaling brines, dynamic scale loop, oil and gas</t>
  </si>
  <si>
    <t xml:space="preserve">U327</t>
  </si>
  <si>
    <t xml:space="preserve">Popov K.; Oshchepkov M.; Afanas'eva E.; Koltinova E.; Dikareva Y.; Rönkkömäki H.</t>
  </si>
  <si>
    <t xml:space="preserve">A new insight into the mechanism of the scale inhibition: DLS study of gypsum nucleation in presence of phosphonates using nanosilver dispersion as an internal light scattering intensity reference</t>
  </si>
  <si>
    <t xml:space="preserve">10.1016/j.colsurfa.2018.10.015</t>
  </si>
  <si>
    <t xml:space="preserve">DLS study of gypsum nucleation/phosphonates - multi-domain fundamental study</t>
  </si>
  <si>
    <t xml:space="preserve">U328</t>
  </si>
  <si>
    <t xml:space="preserve">Bond A.; Palisch T.; Leasure J.</t>
  </si>
  <si>
    <t xml:space="preserve">A novel technology for providing long term scale prevention in an Alaskan North slope waterflood</t>
  </si>
  <si>
    <t xml:space="preserve">SPE Western Regional Meeting Proceedings</t>
  </si>
  <si>
    <t xml:space="preserve">10.2118/195326-ms</t>
  </si>
  <si>
    <t xml:space="preserve">Novel tech for long-term scale prevention, Alaskan North Slope waterflood</t>
  </si>
  <si>
    <t xml:space="preserve">U329</t>
  </si>
  <si>
    <t xml:space="preserve">Dai C.; Dai Z.; Zhang F.; Zhao Y.; Deng G.; Harouaka K.; Wang X.; Lu Y.-T.; Paudyal S.; Ko S.; Gao S.; Kan A.T.; Tomson M.</t>
  </si>
  <si>
    <t xml:space="preserve">A unified experimental method and model for predicting scale inhibition</t>
  </si>
  <si>
    <t xml:space="preserve">10.2118/193586-ms</t>
  </si>
  <si>
    <t xml:space="preserve">Unified experimental method/model for predicting scale inhibition, oilfield</t>
  </si>
  <si>
    <t xml:space="preserve">U330</t>
  </si>
  <si>
    <t xml:space="preserve">Ye C.; Gou S.; Feng Y.; Niu B.; Ma Y.</t>
  </si>
  <si>
    <t xml:space="preserve">Analysis of the causes of tube blocking in Jingbian gas field</t>
  </si>
  <si>
    <t xml:space="preserve">IOP Conference Series: Materials Science and Engineering</t>
  </si>
  <si>
    <t xml:space="preserve">10.1088/1757-899X/542/1/012072</t>
  </si>
  <si>
    <t xml:space="preserve">Analysis of tube blocking causes, Jingbian gas field, explicit</t>
  </si>
  <si>
    <t xml:space="preserve">U331</t>
  </si>
  <si>
    <t xml:space="preserve">Barium sulphate scaling and control during polymer, surfactant and surfactant-polymer flooding</t>
  </si>
  <si>
    <t xml:space="preserve">10.2118/193575-ms</t>
  </si>
  <si>
    <t xml:space="preserve">U332</t>
  </si>
  <si>
    <t xml:space="preserve">Vargas I.T.; Anguita J.M.; Pastén P.A.; Pizarro G.E.</t>
  </si>
  <si>
    <t xml:space="preserve">Chlorine reduction kinetics and its mass balance in copper premise plumbing systems during corrosion events</t>
  </si>
  <si>
    <t xml:space="preserve">10.3390/ma12223676</t>
  </si>
  <si>
    <t xml:space="preserve">Chlorine reduction kinetics in copper plumbing corrosion - unrelated to mineral scale</t>
  </si>
  <si>
    <t xml:space="preserve">U333</t>
  </si>
  <si>
    <t xml:space="preserve">Veisi M.; Johnson S.; Shafer-Peltier K.; Liang J.-T.; Berkland C.; Chen M.; Barati R.</t>
  </si>
  <si>
    <t xml:space="preserve">Controlled release of poly(vinyl sulfonate) scale inhibitor to extend reservoir treatment lifetime</t>
  </si>
  <si>
    <t xml:space="preserve">10.1002/app.47225</t>
  </si>
  <si>
    <t xml:space="preserve">Controlled release PVS scale inhibitor, extend reservoir treatment lifetime</t>
  </si>
  <si>
    <t xml:space="preserve">U334</t>
  </si>
  <si>
    <t xml:space="preserve">Chen P.; Rawlins S.; Hagen T.; Huijgen M.; Zhiwei Yue D.; Hamam M.; El Hajj H.; Al-Ghamdi T.</t>
  </si>
  <si>
    <t xml:space="preserve">Developing a polymer scale inhibitor for a combined fracture and inhibitor squeeze treatment for high-temperature reservoirs</t>
  </si>
  <si>
    <t xml:space="preserve">10.2118/194929-ms</t>
  </si>
  <si>
    <t xml:space="preserve">Polymer SI for combined fracture+squeeze treatment, high-temperature reservoirs</t>
  </si>
  <si>
    <t xml:space="preserve">U335</t>
  </si>
  <si>
    <t xml:space="preserve">Bhandari N.; Bhandari M.; Littlehales I.; Fidoe J.</t>
  </si>
  <si>
    <t xml:space="preserve">Development of a novel iron sulfide scale inhibitor for onshore US application</t>
  </si>
  <si>
    <t xml:space="preserve">10.2118/193599-ms</t>
  </si>
  <si>
    <t xml:space="preserve">Novel iron sulfide scale inhibitor, onshore US application, explicit</t>
  </si>
  <si>
    <t xml:space="preserve">U336</t>
  </si>
  <si>
    <t xml:space="preserve">Salinity/ion type on inorganic scale formation damage, EOR tight carbonate reservoirs</t>
  </si>
  <si>
    <t xml:space="preserve">U337</t>
  </si>
  <si>
    <t xml:space="preserve">Maciel R.S.; de Assis Ressel Pereira F.; Fejoli R.F.; Martins A.L.; Ferreira M.V.D.</t>
  </si>
  <si>
    <t xml:space="preserve">Enhancing Scale Prediction in Pre-Salt Wells Using Numerical Simulation</t>
  </si>
  <si>
    <t xml:space="preserve">10.2118/196180-MS</t>
  </si>
  <si>
    <t xml:space="preserve">Enhancing scale prediction in pre-salt wells, numerical simulation, explicit</t>
  </si>
  <si>
    <t xml:space="preserve">U338</t>
  </si>
  <si>
    <t xml:space="preserve">Enhancing scale prediction in pre-salt wells using numerical simulation</t>
  </si>
  <si>
    <t xml:space="preserve">Duplicate of U337 - same tag</t>
  </si>
  <si>
    <t xml:space="preserve">U339</t>
  </si>
  <si>
    <t xml:space="preserve">Al Helal A.; Soames A.; Iglauer S.; Gubner R.; Barifcani A.</t>
  </si>
  <si>
    <t xml:space="preserve">Evaluating chemical-scale-inhibitor performance in external magnetic fields using a dynamic scale loop</t>
  </si>
  <si>
    <t xml:space="preserve">10.1016/j.petrol.2019.04.093</t>
  </si>
  <si>
    <t xml:space="preserve">Chemical SI performance, external magnetic fields, dynamic scale loop, O&amp;G pipelines</t>
  </si>
  <si>
    <t xml:space="preserve">U340</t>
  </si>
  <si>
    <t xml:space="preserve">Khormali A.; Petrakov D.G.; Jafarpour H.</t>
  </si>
  <si>
    <t xml:space="preserve">Experimental and theoretical investigations of inorganic salt precipitation and control for oil reservoirs</t>
  </si>
  <si>
    <t xml:space="preserve">Innovation-Based Development of the Mineral Resources Sector: Challenges and Prospects - 11th conference of the Russian-German Raw Materials, 2018</t>
  </si>
  <si>
    <t xml:space="preserve">Experimental/theoretical inorganic salt precipitation control, oil reservoirs</t>
  </si>
  <si>
    <t xml:space="preserve">U341</t>
  </si>
  <si>
    <t xml:space="preserve">Zhang P.; Zhang Z.; Zhu J.; Kan A.T.; Tomson M.B.</t>
  </si>
  <si>
    <t xml:space="preserve">Experimental evaluation of common sulfate mineral scale coprecipitation kinetics in oilfield operating conditions</t>
  </si>
  <si>
    <t xml:space="preserve">10.1021/acs.energyfuels.9b01030</t>
  </si>
  <si>
    <t xml:space="preserve">Experimental evaluation of sulfate mineral scale coprecipitation kinetics, oilfield</t>
  </si>
  <si>
    <t xml:space="preserve">U342</t>
  </si>
  <si>
    <t xml:space="preserve">AlAamri J.; AlDahlan M.; Al-Yami I.S.; Al-Ghamdi A.A.</t>
  </si>
  <si>
    <t xml:space="preserve">Formation damage assessment and waterflooding incompatibility study for reduced sulfate injection water</t>
  </si>
  <si>
    <t xml:space="preserve">Society of Petroleum Engineers - Abu Dhabi International Petroleum Exhibition and Conference 2019, ADIP 2019</t>
  </si>
  <si>
    <t xml:space="preserve">10.2118/197802-ms</t>
  </si>
  <si>
    <t xml:space="preserve">Formation damage assessment, waterflooding incompatibility, reduced sulfate injection</t>
  </si>
  <si>
    <t xml:space="preserve">U343</t>
  </si>
  <si>
    <t xml:space="preserve">Rodrigues H.; Mackay E.; Arnold D.</t>
  </si>
  <si>
    <t xml:space="preserve">Impact of WAG Design on Calcite Scaling Risk in Coupled CO2-EOR and Storage Projects in Carbonate Reservoirs</t>
  </si>
  <si>
    <t xml:space="preserve">SPE Reservoir Simulation Symposium Proceedings</t>
  </si>
  <si>
    <t xml:space="preserve">10.2118/193882-MS</t>
  </si>
  <si>
    <t xml:space="preserve">Impact of WAG design on calcite scaling risk, CO2-EOR carbonate reservoirs</t>
  </si>
  <si>
    <t xml:space="preserve">U344</t>
  </si>
  <si>
    <t xml:space="preserve">Impact of WAG design on calcite scaling risk in coupled CO2-EOR and storage projects in carbonate reservoirs</t>
  </si>
  <si>
    <t xml:space="preserve">Society of Petroleum Engineers - SPE Reservoir Simulation Conference 2019, RSC 2019</t>
  </si>
  <si>
    <t xml:space="preserve">Duplicate of U343 - same tag</t>
  </si>
  <si>
    <t xml:space="preserve">U345</t>
  </si>
  <si>
    <t xml:space="preserve">Ishkov O.; Guarnieri R.; Jordan M.; Mackay E.</t>
  </si>
  <si>
    <t xml:space="preserve">Impact of temperature on scale formation in chalk reservoirs</t>
  </si>
  <si>
    <t xml:space="preserve">10.2118/185772-PA</t>
  </si>
  <si>
    <t xml:space="preserve">Impact of temperature on scale formation, chalk reservoirs, produced water oilfield</t>
  </si>
  <si>
    <t xml:space="preserve">U346</t>
  </si>
  <si>
    <t xml:space="preserve">Alharbi B.; Aljeaban N.; Graham A.; Sorbie K.</t>
  </si>
  <si>
    <t xml:space="preserve">Inhibition and interaction between iron sulphide, zinc sulphide and lead sulphide</t>
  </si>
  <si>
    <t xml:space="preserve">Society of Petroleum Engineers - SPE Kuwait Oil and Gas Show and Conference 2019, KOGS 2019</t>
  </si>
  <si>
    <t xml:space="preserve">10.2118/198175-ms</t>
  </si>
  <si>
    <t xml:space="preserve">Inhibition/interaction between FeS/ZnS/PbS scales, sour oil and gas wells</t>
  </si>
  <si>
    <t xml:space="preserve">U347</t>
  </si>
  <si>
    <t xml:space="preserve">Oshchepkov M.; Kamagurov S.; Tkachenko S.; Ryabova A.; Popov K.</t>
  </si>
  <si>
    <t xml:space="preserve">Insight into the Mechanisms of Scale Inhibition: A Case Study of a Task-Specific Fluorescent-Tagged Scale Inhibitor Location on Gypsum Crystals</t>
  </si>
  <si>
    <t xml:space="preserve">ChemNanoMat</t>
  </si>
  <si>
    <t xml:space="preserve">10.1002/cnma.201800660</t>
  </si>
  <si>
    <t xml:space="preserve">Mechanisms of scale inhibition via fluorescent-tagged inhibitor - multi-domain study</t>
  </si>
  <si>
    <t xml:space="preserve">U348</t>
  </si>
  <si>
    <t xml:space="preserve">Jordan M.; Temple E.; Sham A.; Williams H.; McCallum C.</t>
  </si>
  <si>
    <t xml:space="preserve">Investigation into the synergistic interaction of a range of generic scale inhibitors for improved sulphate scale control in north sea topside processes</t>
  </si>
  <si>
    <t xml:space="preserve">10.2118/193613-ms</t>
  </si>
  <si>
    <t xml:space="preserve">Synergistic interaction of generic SIs, sulphate scale control, North Sea topside</t>
  </si>
  <si>
    <t xml:space="preserve">U349</t>
  </si>
  <si>
    <t xml:space="preserve">Zhang P.; Zhang Z.; Liu Y.; Kan A.T.; Tomson M.B.</t>
  </si>
  <si>
    <t xml:space="preserve">Investigation of the impact of ferrous species on the performance of common oilfield scale inhibitors for mineral scale control</t>
  </si>
  <si>
    <t xml:space="preserve">10.1016/j.petrol.2018.09.069</t>
  </si>
  <si>
    <t xml:space="preserve">Impact of ferrous species on oilfield SI performance, mineral scale control</t>
  </si>
  <si>
    <t xml:space="preserve">U350</t>
  </si>
  <si>
    <t xml:space="preserve">Wang X.; Ko S.; Liu Y.; Lu A.-T.; Zhao Y.; Harouaka K.; Deng G.; Paudyal S.; Dai C.; Kan A.T.; Tomson M.B.</t>
  </si>
  <si>
    <t xml:space="preserve">Kinetics and thermodynamics of iron sulfide, precipitation, deposition and control</t>
  </si>
  <si>
    <t xml:space="preserve">10.2118/193630-ms</t>
  </si>
  <si>
    <t xml:space="preserve">Kinetics/thermodynamics of iron sulfide precipitation/deposition/control, O&amp;G</t>
  </si>
  <si>
    <t xml:space="preserve">U351</t>
  </si>
  <si>
    <t xml:space="preserve">Morrow T.; Al-Daghar T.; Troshko A.; Schell C.; Keller M.; Shirazi S.; Roberts K.</t>
  </si>
  <si>
    <t xml:space="preserve">Measurements of the inorganic scale buildup rate on downhole completion equipment - Debris barrier screens</t>
  </si>
  <si>
    <t xml:space="preserve">Society of Petroleum Engineers - Abu Dhabi International Petroleum Exhibition and Conference 2018, ADIPEC 2018</t>
  </si>
  <si>
    <t xml:space="preserve">Measurements of inorganic scale buildup rate, downhole completion, offshore Abu Dhabi</t>
  </si>
  <si>
    <t xml:space="preserve">U352</t>
  </si>
  <si>
    <t xml:space="preserve">Giglio A.; Tran H.; Björk M.; Wadsborn R.; Lagimodiere H.; Dion M.</t>
  </si>
  <si>
    <t xml:space="preserve">Mill experience of calcium carbonate scale formation in green liquor handling systems</t>
  </si>
  <si>
    <t xml:space="preserve">Pulping, Engineering, Environmental and Recycling Sustainability Conference, PEERS 2019</t>
  </si>
  <si>
    <t xml:space="preserve">CaCO3 scale formation in kraft pulp mill green liquor systems - unrelated industry</t>
  </si>
  <si>
    <t xml:space="preserve">U353</t>
  </si>
  <si>
    <t xml:space="preserve">Sadykov A.; Al-Dahlan M.; Mechkak K.; Al-Khaldi M.; Al-Otaibi F.; Al-Sayed M.; Al-Mulhim N.I.</t>
  </si>
  <si>
    <t xml:space="preserve">Mitigation of calcium sulfate scale deposition during fracturing treatment of unconventional gas wells</t>
  </si>
  <si>
    <t xml:space="preserve">SPE/AAPG/SEG Asia Pacific Unconventional Resources Technology Conference 2019, APUR 2019</t>
  </si>
  <si>
    <t xml:space="preserve">10.15530/ap-urtec-2019-198323</t>
  </si>
  <si>
    <t xml:space="preserve">Mitigation of CaSO4 scale deposition, fracturing treatment, unconventional gas wells</t>
  </si>
  <si>
    <t xml:space="preserve">U354</t>
  </si>
  <si>
    <t xml:space="preserve">AlOtaibi F.; Dahlan M.; AlGhamdi A.; Sadykov A.; Mechkak K.</t>
  </si>
  <si>
    <t xml:space="preserve">Mitigation of calcium sulfate scale deposition during fracturing treatments</t>
  </si>
  <si>
    <t xml:space="preserve">10.2118/198007-ms</t>
  </si>
  <si>
    <t xml:space="preserve">Mitigation of CaSO4 scale deposition, fracturing treatments, explicit</t>
  </si>
  <si>
    <t xml:space="preserve">U355</t>
  </si>
  <si>
    <t xml:space="preserve">Yamak R.M.; Nasr-El-Din H.A.; Rahim S.; Taleb M.</t>
  </si>
  <si>
    <t xml:space="preserve">Mitigation of scaling potential of seawater in high temperature environment using phosphonate scale inhibitor</t>
  </si>
  <si>
    <t xml:space="preserve">10.2118/197336-ms</t>
  </si>
  <si>
    <t xml:space="preserve">Mitigation of scaling potential of seawater at HT, phosphonate SI, oilfield</t>
  </si>
  <si>
    <t xml:space="preserve">U356</t>
  </si>
  <si>
    <t xml:space="preserve">Chen T.; Wang Q.; Chang F.; Aljeaban N.</t>
  </si>
  <si>
    <t xml:space="preserve">Recent development and remaining challenges of iron sulfide scale mitigation in sour gas wells</t>
  </si>
  <si>
    <t xml:space="preserve">International Petroleum Technology Conference 2019, IPTC 2019</t>
  </si>
  <si>
    <t xml:space="preserve">10.2523/iptc-19315-ms</t>
  </si>
  <si>
    <t xml:space="preserve">Duplicate of U316 (iron sulfide scale mitigation sour gas wells) - same tag</t>
  </si>
  <si>
    <t xml:space="preserve">U357</t>
  </si>
  <si>
    <t xml:space="preserve">Abouie A.; Sanaei A.; Sepehrnoori K.</t>
  </si>
  <si>
    <t xml:space="preserve">Simulation study of scale management during hydraulic fracturing in unconventional reservoirs</t>
  </si>
  <si>
    <t xml:space="preserve">10.2118/193570-ms</t>
  </si>
  <si>
    <t xml:space="preserve">Simulation study of scale management, hydraulic fracturing, unconventional reservoirs</t>
  </si>
  <si>
    <t xml:space="preserve">U358</t>
  </si>
  <si>
    <t xml:space="preserve">Mady M.F.; Fevang S.; Kelland M.A.</t>
  </si>
  <si>
    <t xml:space="preserve">Study of Novel Aromatic Aminomethylenephosphonates as Oilfield Scale Inhibitors</t>
  </si>
  <si>
    <t xml:space="preserve">10.1021/acs.energyfuels.8b03531</t>
  </si>
  <si>
    <t xml:space="preserve">Novel aromatic aminomethylenephosphonates, oilfield scale inhibitors, explicit</t>
  </si>
  <si>
    <t xml:space="preserve">U359</t>
  </si>
  <si>
    <t xml:space="preserve">Mady M.F.; Malmin H.; Kelland M.A.</t>
  </si>
  <si>
    <t xml:space="preserve">Sulfonated Nonpolymeric Aminophosphonate Scale Inhibitors - Improving the Compatibility and Biodegradability</t>
  </si>
  <si>
    <t xml:space="preserve">10.1021/acs.energyfuels.9b01032</t>
  </si>
  <si>
    <t xml:space="preserve">Sulfonated nonpolymeric aminophosphonate SI, upstream oil and gas industry</t>
  </si>
  <si>
    <t xml:space="preserve">U360</t>
  </si>
  <si>
    <t xml:space="preserve">Lu A.Y.-T.; Shi W.; Wang J.; Venkatesan R.; Harouaka K.; Paudyal S.; Ko S.; Dai C.; Gao S.; Deng G.; Zhao Y.; Wang X.; Kan A.T.; Tomson M.</t>
  </si>
  <si>
    <t xml:space="preserve">The Mechanism of Barium Sulfate Deposition Inhibition and the Prediction of Inhibitor Dosage</t>
  </si>
  <si>
    <t xml:space="preserve">10.1021/acs.jced.9b00799</t>
  </si>
  <si>
    <t xml:space="preserve">Mechanism of BaSO4 deposition inhibition, prediction of inhibitor dosage, pipelines</t>
  </si>
  <si>
    <t xml:space="preserve">U361</t>
  </si>
  <si>
    <t xml:space="preserve">Ness G.; Sorbie K.; Lugo N.; Kelly C.</t>
  </si>
  <si>
    <t xml:space="preserve">The impact of H2S on carbonate scaling risk. A field case study</t>
  </si>
  <si>
    <t xml:space="preserve">Impact of H2S on carbonate scaling risk, field case study, oil and gas production</t>
  </si>
  <si>
    <t xml:space="preserve">U362</t>
  </si>
  <si>
    <t xml:space="preserve">Ness G.; Sorbie K.S.</t>
  </si>
  <si>
    <t xml:space="preserve">The impact of field measurements and data-handling procedures on carbonate- And sulfide-scale prediction</t>
  </si>
  <si>
    <t xml:space="preserve">10.2118/189218-PA</t>
  </si>
  <si>
    <t xml:space="preserve">Impact of field measurements/data-handling on carbonate/sulfide-scale prediction</t>
  </si>
  <si>
    <t xml:space="preserve">U363</t>
  </si>
  <si>
    <t xml:space="preserve">Khattab H.M.; Elgibaly A.A.; Mohamed H.F.</t>
  </si>
  <si>
    <t xml:space="preserve">The possibility of using sea water injection into petroleum reservoirs and reducing their scale precipitation in injection and production pipelines</t>
  </si>
  <si>
    <t xml:space="preserve">Petroleum and Coal</t>
  </si>
  <si>
    <t xml:space="preserve">Seawater injection into petroleum reservoirs, reducing scale precipitation, pipelines</t>
  </si>
  <si>
    <t xml:space="preserve">U364</t>
  </si>
  <si>
    <t xml:space="preserve">Khormali A.; Petrakov D.G.</t>
  </si>
  <si>
    <t xml:space="preserve">A comprehensive study on prediction and inhibition of calcium sulfate scale formation in oil reservoirs</t>
  </si>
  <si>
    <t xml:space="preserve">Saint Petersburg 2018: Innovations in Geosciences - Time for Breakthrough</t>
  </si>
  <si>
    <t xml:space="preserve">10.3997/2214-4609.201800117</t>
  </si>
  <si>
    <t xml:space="preserve">Comprehensive study: prediction/inhibition of CaSO4 scale formation, oil reservoirs</t>
  </si>
  <si>
    <t xml:space="preserve">U365</t>
  </si>
  <si>
    <t xml:space="preserve">Russek J.; Flores N.; Brooks J.</t>
  </si>
  <si>
    <t xml:space="preserve">A novel evaluation of scale inhibitor performance against calcium carbonate scaling in the presence of iron sulfide</t>
  </si>
  <si>
    <t xml:space="preserve">Society of Petroleum Engineers - SPE International Oilfield Scale Conference and Exhibition 2018</t>
  </si>
  <si>
    <t xml:space="preserve">10.2118/190723-ms</t>
  </si>
  <si>
    <t xml:space="preserve">Evaluation of SI performance against CaCO3 scaling with iron sulfide, oil/gas wells</t>
  </si>
  <si>
    <t xml:space="preserve">U366</t>
  </si>
  <si>
    <t xml:space="preserve">Lu A.Y.-T.; Ruan G.; Harouaka K.; Sriyarathne D.; Li W.; Deng G.; Zhao Y.; Wang X.; Kan A.; Tomson M.</t>
  </si>
  <si>
    <t xml:space="preserve">A novel view of barium sulfate deposition in stainless steel tubing</t>
  </si>
  <si>
    <t xml:space="preserve">10.2118/190696-ms</t>
  </si>
  <si>
    <t xml:space="preserve">Barium sulfate deposition, stainless steel tubing, oilfield pipes explicit</t>
  </si>
  <si>
    <t xml:space="preserve">U367</t>
  </si>
  <si>
    <t xml:space="preserve">Sorbie K.S.; Stamatiou A.</t>
  </si>
  <si>
    <t xml:space="preserve">Analytical Solutions of a One-Dimensional Linear Model Describing Scale Inhibitor Precipitation Treatments</t>
  </si>
  <si>
    <t xml:space="preserve">Transport in Porous Media</t>
  </si>
  <si>
    <t xml:space="preserve">10.1007/s11242-018-1040-3</t>
  </si>
  <si>
    <t xml:space="preserve">Analytical solutions, 1D model of SI precipitation treatments, oil wells</t>
  </si>
  <si>
    <t xml:space="preserve">U368</t>
  </si>
  <si>
    <t xml:space="preserve">Kartnaller V.; Venâncio F.; do Rosário F.F.; Cajaiba J.</t>
  </si>
  <si>
    <t xml:space="preserve">Application of multiple regression and design of experiments for modelling the effect of monoethylene glycol in the calcium carbonate scaling process</t>
  </si>
  <si>
    <t xml:space="preserve">10.3390/molecules23040860</t>
  </si>
  <si>
    <t xml:space="preserve">Multiple regression/DOE modelling of MEG effect on CaCO3 scaling, pre-salt wells</t>
  </si>
  <si>
    <t xml:space="preserve">U369</t>
  </si>
  <si>
    <t xml:space="preserve">Sariman F.; Bayuseno A.P.; Muryanto S.</t>
  </si>
  <si>
    <t xml:space="preserve">Crystallization of Barium Sulfate (BaSO4) in a Flowing System: Influence of malic acid on Induction Time and Crystal Phase Transformation</t>
  </si>
  <si>
    <t xml:space="preserve">MATEC Web of Conferences</t>
  </si>
  <si>
    <t xml:space="preserve">10.1051/matecconf/201815902065</t>
  </si>
  <si>
    <t xml:space="preserve">Crystallization of BaSO4 in flowing system, induction time, offshore drilling wells</t>
  </si>
  <si>
    <t xml:space="preserve">U370</t>
  </si>
  <si>
    <t xml:space="preserve">Maffra D.A.; Freitas T.C.; Da Cruz G.F.; De Siqueira F.D.; Do Rosário F.F.</t>
  </si>
  <si>
    <t xml:space="preserve">Evaluation of barium sulfate scale inhibition using relative permeability modifier polymers as adsorption enhancer for mature offshore well treatments in Campos Basin, Brazil</t>
  </si>
  <si>
    <t xml:space="preserve">10.1021/acs.iecr.8b01828</t>
  </si>
  <si>
    <t xml:space="preserve">Evaluation of BaSO4 SI with RPM polymers, offshore Campos Basin explicit</t>
  </si>
  <si>
    <t xml:space="preserve">U371</t>
  </si>
  <si>
    <t xml:space="preserve">Silica nanoparticles, kinetics of BaSO4 scaling during water injection, EOR</t>
  </si>
  <si>
    <t xml:space="preserve">U372</t>
  </si>
  <si>
    <t xml:space="preserve">Nwankwoala H.O.; Abadom N.D.; Oborie E.</t>
  </si>
  <si>
    <t xml:space="preserve">Geochemical assessment and modeling of water quality for irrigation and industrial purposes in otuoke and environs, bayelsa state, nigeria</t>
  </si>
  <si>
    <t xml:space="preserve">Water Conservation and Management</t>
  </si>
  <si>
    <t xml:space="preserve">10.26480/wcm.01.2018.13.17</t>
  </si>
  <si>
    <t xml:space="preserve">Geochemical water quality assessment for irrigation, Nigeria - unrelated to scale</t>
  </si>
  <si>
    <t xml:space="preserve">U373</t>
  </si>
  <si>
    <t xml:space="preserve">Increasing efficiency of CaSO4 scale prevention, phosphonate SI mixture, waterflooding</t>
  </si>
  <si>
    <t xml:space="preserve">U374</t>
  </si>
  <si>
    <t xml:space="preserve">Silva D.J.; Sorbie K.S.; Mackay E.J.</t>
  </si>
  <si>
    <t xml:space="preserve">Introduction of kinetic effects into the thermodynamic modelling of CaCO3 scale precipitation</t>
  </si>
  <si>
    <t xml:space="preserve">10.2118/190737-ms</t>
  </si>
  <si>
    <t xml:space="preserve">Kinetic effects in thermodynamic modelling of CaCO3 scale precipitation, O&amp;G</t>
  </si>
  <si>
    <t xml:space="preserve">U375</t>
  </si>
  <si>
    <t xml:space="preserve">Investigation of barium sulfate precipitation and prevention using different scale inhibitors under reservoir conditions</t>
  </si>
  <si>
    <t xml:space="preserve">International Journal of Engineering, Transactions A: Basics</t>
  </si>
  <si>
    <t xml:space="preserve">10.5829/ije.2018.31.10a.24</t>
  </si>
  <si>
    <t xml:space="preserve">Investigation of BaSO4 precipitation/prevention, SI, reservoir conditions explicit</t>
  </si>
  <si>
    <t xml:space="preserve">U376</t>
  </si>
  <si>
    <t xml:space="preserve">Chen T.; Wang Q.; Chang F.; Mukhles A.</t>
  </si>
  <si>
    <t xml:space="preserve">Iron sulfide deposition in sour gas wells: A corrosion induced scale problem</t>
  </si>
  <si>
    <t xml:space="preserve">Society of Petroleum Engineers - SPE International Oilfield Corrosion Conference and Exhibition 2018</t>
  </si>
  <si>
    <t xml:space="preserve">10.2118/190910-ms</t>
  </si>
  <si>
    <t xml:space="preserve">Iron sulfide deposition in sour gas wells, corrosion-induced scale, explicit</t>
  </si>
  <si>
    <t xml:space="preserve">U377</t>
  </si>
  <si>
    <t xml:space="preserve">Zhang Z.; Zhang P.; Li Z.; Kan A.T.; Tomson M.B.</t>
  </si>
  <si>
    <t xml:space="preserve">Laboratory Evaluation and Mechanistic Understanding of the Impact of Ferric Species on Oilfield Scale Inhibitor Performance</t>
  </si>
  <si>
    <t xml:space="preserve">10.1021/acs.energyfuels.8b01837</t>
  </si>
  <si>
    <t xml:space="preserve">Laboratory evaluation, impact of ferric species on oilfield SI performance</t>
  </si>
  <si>
    <t xml:space="preserve">U378</t>
  </si>
  <si>
    <t xml:space="preserve">Laboratory study, efficiency of CaCO3 SIs with EOR chemicals, oil industry</t>
  </si>
  <si>
    <t xml:space="preserve">U379</t>
  </si>
  <si>
    <t xml:space="preserve">Okocha C.; Kaiser A.; Underwood S.; Samaniego W.; Wylde J.</t>
  </si>
  <si>
    <t xml:space="preserve">New generation squeezable sulfide inhibitor successfully averts challenging sulfide scale deposition in permian basin</t>
  </si>
  <si>
    <t xml:space="preserve">10.2118/190709-ms</t>
  </si>
  <si>
    <t xml:space="preserve">New generation squeezable sulfide inhibitor, Permian basin, explicit</t>
  </si>
  <si>
    <t xml:space="preserve">U380</t>
  </si>
  <si>
    <t xml:space="preserve">Okocha C.; Kaiser A.; Wylde J.; Petrozziello L.; Haeussler M.; Kayser C.; Chen T.; Qiwei W.; Chang F.; Klapper M.</t>
  </si>
  <si>
    <t xml:space="preserve">Review of iron sulfide scale: The Facts &amp; Developments and Relation to Oil and Gas production</t>
  </si>
  <si>
    <t xml:space="preserve">Society of Petroleum Engineers - SPE Kingdom of Saudi Arabia Annual Technical Symposium and Exhibition 2018, SATS 2018</t>
  </si>
  <si>
    <t xml:space="preserve">10.2118/192207-ms</t>
  </si>
  <si>
    <t xml:space="preserve">Review of iron sulfide scale, oil and gas production, explicit</t>
  </si>
  <si>
    <t xml:space="preserve">U381</t>
  </si>
  <si>
    <t xml:space="preserve">Wang W.; Wei W.; Ferrier N.; Arismendi N.</t>
  </si>
  <si>
    <t xml:space="preserve">Scale formation and inhibition study for water injection wells</t>
  </si>
  <si>
    <t xml:space="preserve">10.2118/190732-ms</t>
  </si>
  <si>
    <t xml:space="preserve">Scale formation/inhibition study for water injection wells, explicit</t>
  </si>
  <si>
    <t xml:space="preserve">U382</t>
  </si>
  <si>
    <t xml:space="preserve">Abdelgawad K.Z.; Mahmoud M.; Hussein I.</t>
  </si>
  <si>
    <t xml:space="preserve">Stimulation of high temperature carbonate gas reservoirs using seawater and chelating agents: Reaction kinetics</t>
  </si>
  <si>
    <t xml:space="preserve">Journal of Natural Gas Science and Engineering</t>
  </si>
  <si>
    <t xml:space="preserve">10.1016/j.jngse.2017.06.020</t>
  </si>
  <si>
    <t xml:space="preserve">Stimulation of HT carbonate gas reservoirs, seawater/chelating agents - acid focus</t>
  </si>
  <si>
    <t xml:space="preserve">U383</t>
  </si>
  <si>
    <t xml:space="preserve">Yisheng H.U.; MacKay E.; Vazquez O.; Ishkov O.</t>
  </si>
  <si>
    <t xml:space="preserve">Streamline simulation of barium sulfate precipitation occurring within the reservoir coupled with analyses of observed produced-water-chemistry data to aid scale management</t>
  </si>
  <si>
    <t xml:space="preserve">Streamline simulation of BaSO4 precipitation, reservoir, scale management, explicit</t>
  </si>
  <si>
    <t xml:space="preserve">U384</t>
  </si>
  <si>
    <t xml:space="preserve">Wang Z.; Zhang L.; Yu T.; Xu M.</t>
  </si>
  <si>
    <t xml:space="preserve">Study of Corrosion Behavior of Oil Gathering Facilities with Co2 Flooding In Low-Permeability Oilfields</t>
  </si>
  <si>
    <t xml:space="preserve">Chemistry and Technology of Fuels and Oils</t>
  </si>
  <si>
    <t xml:space="preserve">10.1007/s10553-018-0883-1</t>
  </si>
  <si>
    <t xml:space="preserve">Corrosion behavior of oil gathering facilities under CO2 flooding - corrosion focus</t>
  </si>
  <si>
    <t xml:space="preserve">U385</t>
  </si>
  <si>
    <t xml:space="preserve">Maciel R.S.; Maciel F.S.; Pereira F.A.R.; Ribeiro D.C.; Aldeia W.; Martins A.L.; Bloch M.; Ferreira M.V.D.</t>
  </si>
  <si>
    <t xml:space="preserve">Study of carbonatic scale in completion tools through modeling and simulation techniques</t>
  </si>
  <si>
    <t xml:space="preserve">10.2118/190703-ms</t>
  </si>
  <si>
    <t xml:space="preserve">Carbonatic scale in completion tools, modeling/simulation, downhole explicit</t>
  </si>
  <si>
    <t xml:space="preserve">U386</t>
  </si>
  <si>
    <t xml:space="preserve">Sanaei A.; Delshad M.; Sepehrnoori K.</t>
  </si>
  <si>
    <t xml:space="preserve">Study of scale formation during ASP pilot in a middle eastern carbonate reservoir</t>
  </si>
  <si>
    <t xml:space="preserve">10.2118/190169-ms</t>
  </si>
  <si>
    <t xml:space="preserve">Scale formation during ASP pilot, Middle Eastern carbonate reservoir, explicit</t>
  </si>
  <si>
    <t xml:space="preserve">U387</t>
  </si>
  <si>
    <t xml:space="preserve">Mady M.F.; Charoensumran P.; Ajiro H.; Kelland M.A.</t>
  </si>
  <si>
    <t xml:space="preserve">Synthesis and Characterization of Modified Aliphatic Polycarbonates as Environmentally Friendly Oilfield Scale Inhibitors</t>
  </si>
  <si>
    <t xml:space="preserve">10.1021/acs.energyfuels.8b01168</t>
  </si>
  <si>
    <t xml:space="preserve">Synthesis of modified aliphatic polycarbonates, oilfield scale inhibitors</t>
  </si>
  <si>
    <t xml:space="preserve">U388</t>
  </si>
  <si>
    <t xml:space="preserve">Early stages of FeCO3 scale formation kinetics, CO2 corrosion, carbon steel pipelines</t>
  </si>
  <si>
    <t xml:space="preserve">U389</t>
  </si>
  <si>
    <t xml:space="preserve">Harouaka K.; Lu Y.T.; Ruan G.; Dushaneeiyarathne H.; Li W.; Deng G.; Zhao Y.; Wang X.; Kan A.T.; Tomson M.</t>
  </si>
  <si>
    <t xml:space="preserve">The effect of surface material on the mechanics of calcium carbonate scale deposition</t>
  </si>
  <si>
    <t xml:space="preserve">10.2118/190700-ms</t>
  </si>
  <si>
    <t xml:space="preserve">Effect of surface material on mechanics of CaCO3 scale deposition, tubing</t>
  </si>
  <si>
    <t xml:space="preserve">U390</t>
  </si>
  <si>
    <t xml:space="preserve">Venancio F.; Rosário F.F.; Cajaiba J.</t>
  </si>
  <si>
    <t xml:space="preserve">Use of a dynamic system and reflectance measurements to assess the impact of monoethylene glycol on calcium carbonate scale</t>
  </si>
  <si>
    <t xml:space="preserve">10.1016/j.petrol.2018.02.064</t>
  </si>
  <si>
    <t xml:space="preserve">Dynamic system/reflectance, MEG impact on CaCO3 scale, petroleum production systems</t>
  </si>
  <si>
    <t xml:space="preserve">U391</t>
  </si>
  <si>
    <t xml:space="preserve">Dai Z.; Zhang F.; Yan F.; Bhandari N.; Ruan G.; Zhang Z.; Liu Y.; Alsaiari H.A.; Lu Y.-T.; Deng G.; Kan A.T.; Tomson M.</t>
  </si>
  <si>
    <t xml:space="preserve">A new theoretical model for the induction time and scale inhibitor dosage predictions for calcite and barite over wide ranges of temperature, inhibition concentration and saturation index</t>
  </si>
  <si>
    <t xml:space="preserve">10.2118/184547-ms</t>
  </si>
  <si>
    <t xml:space="preserve">Theoretical model, induction time and SI dosage predictions, calcite/barite, O&amp;G</t>
  </si>
  <si>
    <t xml:space="preserve">U392</t>
  </si>
  <si>
    <t xml:space="preserve">Verri G.; Sorbie K.S.; Silva D.</t>
  </si>
  <si>
    <t xml:space="preserve">A rigorous general workflow for accurate prediction of carbonate and sulphide scaling profiles in oil and gas wells</t>
  </si>
  <si>
    <t xml:space="preserve">10.1016/j.petrol.2017.06.037</t>
  </si>
  <si>
    <t xml:space="preserve">Rigorous workflow for prediction of carbonate/sulphide scaling profiles, O&amp;G wells</t>
  </si>
  <si>
    <t xml:space="preserve">U393</t>
  </si>
  <si>
    <t xml:space="preserve">Guskova I.; Sayakhov V.</t>
  </si>
  <si>
    <t xml:space="preserve">Assessment of scale inhibitor impact in steam assisted gravity drainage</t>
  </si>
  <si>
    <t xml:space="preserve">International Multidisciplinary Scientific GeoConference Surveying Geology and Mining Ecology Management, SGEM</t>
  </si>
  <si>
    <t xml:space="preserve">10.5593/sgem2017/12/S02.014</t>
  </si>
  <si>
    <t xml:space="preserve">Assessment of SI impact in steam assisted gravity drainage, oilfield explicit</t>
  </si>
  <si>
    <t xml:space="preserve">U394</t>
  </si>
  <si>
    <t xml:space="preserve">Barite scale formation/inhibition, laminar/turbulent flow, rotating cylinder, O&amp;G</t>
  </si>
  <si>
    <t xml:space="preserve">U395</t>
  </si>
  <si>
    <t xml:space="preserve">Zhang F.; Dai Z.; Yan C.; Bhandari N.; Yan F.; Liu Y.; Zhang Z.; Ruan G.; Kan A.T.; Tomson M.B.</t>
  </si>
  <si>
    <t xml:space="preserve">Barite-scaling risk and inhibition at high temperature</t>
  </si>
  <si>
    <t xml:space="preserve">10.2118/169771-pa</t>
  </si>
  <si>
    <t xml:space="preserve">Barite-scaling risk/inhibition at high temperature, oil-and-gas production explicit</t>
  </si>
  <si>
    <t xml:space="preserve">U396</t>
  </si>
  <si>
    <t xml:space="preserve">Azaza H.; Mechi L.; Doggaz A.; Optasanu V.; Tlili M.; Amor M.B.</t>
  </si>
  <si>
    <t xml:space="preserve">Calcite and barite precipitation in CaCO3-BaSO4-NaCl and BaSO4-NaCl-CaCl2 aqueous systems: kinetic and microstructural study</t>
  </si>
  <si>
    <t xml:space="preserve">Arabian Journal of Geosciences</t>
  </si>
  <si>
    <t xml:space="preserve">10.1007/s12517-017-3005-1</t>
  </si>
  <si>
    <t xml:space="preserve">Calcite/barite precipitation kinetics, tied to hydrocarbon-reservoir production</t>
  </si>
  <si>
    <t xml:space="preserve">U397</t>
  </si>
  <si>
    <t xml:space="preserve">Mazziotti di Celso G.; Prisciandaro M.; Karatza D.; Lancia A.; Musmarra D.</t>
  </si>
  <si>
    <t xml:space="preserve">Calcium carbonate scales on process equipment: A measure of the induction time for nucleation</t>
  </si>
  <si>
    <t xml:space="preserve">10.5004/dwt.2017.20300</t>
  </si>
  <si>
    <t xml:space="preserve">CaCO3 scales on process equipment, induction time - generic, no oilfield mention</t>
  </si>
  <si>
    <t xml:space="preserve">U398</t>
  </si>
  <si>
    <t xml:space="preserve">Zhang F.; Hinrichsen C.J.; Kan A.T.; Wang W.; Wei W.; Dai Z.; Yan F.; Liu Y.; Bhandari N.; Zhang Z.; Ruan G.; Tomson M.B.</t>
  </si>
  <si>
    <t xml:space="preserve">Calcium sulfate scaling risk and inhibition for a steamflood project</t>
  </si>
  <si>
    <t xml:space="preserve">10.2118/179875-pa</t>
  </si>
  <si>
    <t xml:space="preserve">CaSO4 scaling risk/inhibition, steamflood project, Middle Eastern oil field</t>
  </si>
  <si>
    <t xml:space="preserve">U399</t>
  </si>
  <si>
    <t xml:space="preserve">Wanner C.; Eichinger F.; Jahrfeld T.; Diamond L.W.</t>
  </si>
  <si>
    <t xml:space="preserve">Causes of abundant calcite scaling in geothermal wells in the Bavarian Molasse Basin, Southern Germany</t>
  </si>
  <si>
    <t xml:space="preserve">10.1016/j.geothermics.2017.05.001</t>
  </si>
  <si>
    <t xml:space="preserve">Calcite scaling in geothermal wells, Bavarian Molasse Basin - geothermal</t>
  </si>
  <si>
    <t xml:space="preserve">U400</t>
  </si>
  <si>
    <t xml:space="preserve">Honarparvar S.; Saravi S.H.; Reible D.; Chen C.-C.</t>
  </si>
  <si>
    <t xml:space="preserve">Comprehensive thermodynamic modeling of saline water with electrolyte NRTL model: A study on aqueous Ba2+-Na+-Cl−-SO42− quaternary system</t>
  </si>
  <si>
    <t xml:space="preserve">Fluid Phase Equilibria</t>
  </si>
  <si>
    <t xml:space="preserve">Thermodynamic modeling of saline water (eNRTL), high-salinity produced water, O&amp;G</t>
  </si>
  <si>
    <t xml:space="preserve">U401</t>
  </si>
  <si>
    <t xml:space="preserve">Watchawong D.; Rafidah R.N.; Sahar R.; Mohamad Sobri A.N.; Abd Hamid M.H.B.</t>
  </si>
  <si>
    <t xml:space="preserve">Cost saving through wax and scale management strategy in offshore Marginal Field, Malaysia</t>
  </si>
  <si>
    <t xml:space="preserve">Society of Petroleum Engineers - SPE Symposium: Production Enhancement and Cost Optimisation 2017</t>
  </si>
  <si>
    <t xml:space="preserve">Cost-saving wax/scale management strategy, offshore Marginal Field Malaysia</t>
  </si>
  <si>
    <t xml:space="preserve">U402</t>
  </si>
  <si>
    <t xml:space="preserve">Deposition of carbonate/sulfate/sulfide scales, antifouling surfaces, oil and gas</t>
  </si>
  <si>
    <t xml:space="preserve">U403</t>
  </si>
  <si>
    <t xml:space="preserve">Tiwari A.; Fartiyal P.; Malik A.; Sharma N.; Manickavasagam C.; Lele S.; Sharma A.; Sabhapondit A.</t>
  </si>
  <si>
    <t xml:space="preserve">Development and operational implementation of scale management strategy in a mature field</t>
  </si>
  <si>
    <t xml:space="preserve">Society of Petroleum Engineers - SPE/IATMI Asia Pacific Oil and Gas Conference and Exhibition 2017</t>
  </si>
  <si>
    <t xml:space="preserve">10.2118/186910-ms</t>
  </si>
  <si>
    <t xml:space="preserve">Scale management strategy in a mature oil field, calcite scaling, explicit</t>
  </si>
  <si>
    <t xml:space="preserve">U404</t>
  </si>
  <si>
    <t xml:space="preserve">Wylde J.J.; Turner N.; Austill M.; Okocha C.; Obeyesekere N.</t>
  </si>
  <si>
    <t xml:space="preserve">Development, testing and field application of a novel combination foamer-iron sulfide scale inhibitor-corrosion inhibitor in east Texas</t>
  </si>
  <si>
    <t xml:space="preserve">10.2118/184584-ms</t>
  </si>
  <si>
    <t xml:space="preserve">Combination foamer/iron sulfide SI/corrosion inhibitor field application, East Texas</t>
  </si>
  <si>
    <t xml:space="preserve">U405</t>
  </si>
  <si>
    <t xml:space="preserve">Wang F.; Devine C.L.; Edwards M.A.</t>
  </si>
  <si>
    <t xml:space="preserve">Effect of Corrosion Inhibitors on in Situ Leak Repair by Precipitation of Calcium Carbonate in Potable Water Pipelines</t>
  </si>
  <si>
    <t xml:space="preserve">10.1021/acs.est.7b01380</t>
  </si>
  <si>
    <t xml:space="preserve">Corrosion inhibitors and CaCO3 precipitation leak repair - potable water, not oilfield</t>
  </si>
  <si>
    <t xml:space="preserve">U406</t>
  </si>
  <si>
    <t xml:space="preserve">Dogan O.; Senol Erdemir C.; Akyol E.; Kirboga S.; Öner M.</t>
  </si>
  <si>
    <t xml:space="preserve">Effect of conductive copolymers on scale formation of gypsum</t>
  </si>
  <si>
    <t xml:space="preserve">Pure and Applied Chemistry</t>
  </si>
  <si>
    <t xml:space="preserve">10.1515/pac-2016-0810</t>
  </si>
  <si>
    <t xml:space="preserve">Conductive copolymers on gypsum scale formation - oil and gas production explicit</t>
  </si>
  <si>
    <t xml:space="preserve">U407</t>
  </si>
  <si>
    <t xml:space="preserve">Nusiaputra Y.; Dimier A.D.; Nitschke F.N.; Gaucher E.G.; Kohl T.K.</t>
  </si>
  <si>
    <t xml:space="preserve">Effect of flow and physical parameters on the mineral deposition of geothermal wellbores: WellboreKit development</t>
  </si>
  <si>
    <t xml:space="preserve">79th EAGE Conference and Exhibition 2017</t>
  </si>
  <si>
    <t xml:space="preserve">10.3997/2214-4609.201701326</t>
  </si>
  <si>
    <t xml:space="preserve">Mineral deposition modeling in geothermal wellbores (WellboreKit) - geothermal</t>
  </si>
  <si>
    <t xml:space="preserve">U408</t>
  </si>
  <si>
    <t xml:space="preserve">Ruan G.; Kan A.T.; Dai Z.; Yan F.; Zhang F.; Bhandari N.; Alsaiari H.A.; Liu Y.; Zhang Z.; Lu Y.-T.; Deng G.; Tomson M.B.</t>
  </si>
  <si>
    <t xml:space="preserve">Fast and accurate screening and evaluation of halite scale inhibitors by two novel static bottle testing methods</t>
  </si>
  <si>
    <t xml:space="preserve">10.2118/184593-ms</t>
  </si>
  <si>
    <t xml:space="preserve">Screening/evaluation of halite scale inhibitors, deepwater/shale gas fields explicit</t>
  </si>
  <si>
    <t xml:space="preserve">U409</t>
  </si>
  <si>
    <t xml:space="preserve">Malik A.; Tiwari A.; Fartiyal P.; Lele S.; Manickavasagam C.; Sharma N.M.</t>
  </si>
  <si>
    <t xml:space="preserve">Holistic management of calcium carbonate scaling in a mature field: A case study</t>
  </si>
  <si>
    <t xml:space="preserve">Society of Petroleum Engineers - SPE Kingdom of Saudi Arabia Annual Technical Symposium and Exhibition 2017</t>
  </si>
  <si>
    <t xml:space="preserve">10.2118/188121-ms</t>
  </si>
  <si>
    <t xml:space="preserve">Holistic management of CaCO3 scaling, mature field case study, explicit</t>
  </si>
  <si>
    <t xml:space="preserve">U410</t>
  </si>
  <si>
    <t xml:space="preserve">Bhandari N.; Ruan G.; Liu Y.; Zhang F.; Yan F.; Saiari H.A.; Zhang Z.; Dai Z.; Lu Y.; Deng G.; Kan A.T.; Tomson M.B.</t>
  </si>
  <si>
    <t xml:space="preserve">Identification of new chemical formulation for control of metal sulfides FeS, ZnS and PbS scale deposition</t>
  </si>
  <si>
    <t xml:space="preserve">10.2118/184526-ms</t>
  </si>
  <si>
    <t xml:space="preserve">New chemical formulation for FeS/ZnS/PbS scale deposition, oil and gas production</t>
  </si>
  <si>
    <t xml:space="preserve">U411</t>
  </si>
  <si>
    <t xml:space="preserve">Society of Petroleum Engineers - SPE Europec Featured at 79th EAGE Conference and Exhibition</t>
  </si>
  <si>
    <t xml:space="preserve">10.2118/185772-ms</t>
  </si>
  <si>
    <t xml:space="preserve">Duplicate of U345 (temperature impact on chalk reservoir scaling) - same tag</t>
  </si>
  <si>
    <t xml:space="preserve">U412</t>
  </si>
  <si>
    <t xml:space="preserve">Carvalho S.; Palermo L.; Boak L.; Sorbie K.; Lucas E.F.</t>
  </si>
  <si>
    <t xml:space="preserve">Influence of Terpolymer Based on Amide, Carboxylic, and Sulfonic Groups on the Barium Sulfate Inhibition</t>
  </si>
  <si>
    <t xml:space="preserve">10.1021/acs.energyfuels.7b01767</t>
  </si>
  <si>
    <t xml:space="preserve">Terpolymer inhibitor for BaSO4, oilfield production systems, explicit</t>
  </si>
  <si>
    <t xml:space="preserve">U413</t>
  </si>
  <si>
    <t xml:space="preserve">Wang Q.; Al-Nasser W.; Al-Dawood F.; Al-Shafai T.; Al-Badairy H.; Shen S.; Al-Ajwad H.; Liang F.</t>
  </si>
  <si>
    <t xml:space="preserve">Inhibition of calcium carbonate scale in the presence of EOR chemicals</t>
  </si>
  <si>
    <t xml:space="preserve">10.2118/184534-ms</t>
  </si>
  <si>
    <t xml:space="preserve">Inhibition of CaCO3 scale with EOR chemicals, Saudi Arabia field trial, explicit</t>
  </si>
  <si>
    <t xml:space="preserve">U414</t>
  </si>
  <si>
    <t xml:space="preserve">Iron sulfide scale management, high-H2S/CO2 carbonate reservoirs, explicit</t>
  </si>
  <si>
    <t xml:space="preserve">U415</t>
  </si>
  <si>
    <t xml:space="preserve">Barite scale formation from reused produced water as fracturing fluid, shale gas</t>
  </si>
  <si>
    <t xml:space="preserve">U416</t>
  </si>
  <si>
    <t xml:space="preserve">Hydrodynamic aspects of carbonate scale formation, high flow rate wells, explicit</t>
  </si>
  <si>
    <t xml:space="preserve">U417</t>
  </si>
  <si>
    <t xml:space="preserve">Lu H.; Stewart P.; Jones D.; Penkala J.; Brooks J.</t>
  </si>
  <si>
    <t xml:space="preserve">Optimization of scale treatment program of a CO2 water-alternating-gas system for enhanced oil and gas production</t>
  </si>
  <si>
    <t xml:space="preserve">10.2118/184554-ms</t>
  </si>
  <si>
    <t xml:space="preserve">Optimization of scale treatment program, CO2-WAG, enhanced oil and gas production</t>
  </si>
  <si>
    <t xml:space="preserve">U418</t>
  </si>
  <si>
    <t xml:space="preserve">Khormali A.; Ghasemi M.F.; Lykov Y.V.</t>
  </si>
  <si>
    <t xml:space="preserve">Prediction and inhibition of barium sulfate scale deposits in oil reservoirs</t>
  </si>
  <si>
    <t xml:space="preserve">EAGE/SPE Joint Workshop on Shale Science 2017: Prospecting and Development</t>
  </si>
  <si>
    <t xml:space="preserve">10.3997/2214-4609.201700203</t>
  </si>
  <si>
    <t xml:space="preserve">Prediction/inhibition of BaSO4 scale deposits, oil reservoirs, waterflooding shale</t>
  </si>
  <si>
    <t xml:space="preserve">U419</t>
  </si>
  <si>
    <t xml:space="preserve">Paz P.A.; Caprace J.-D.; Cajaiba J.F.; Netto T.A.</t>
  </si>
  <si>
    <t xml:space="preserve">Prediction of calcium carbonate scaling in pipes using artificial neural networks</t>
  </si>
  <si>
    <t xml:space="preserve">10.1115/OMAE2017-61233</t>
  </si>
  <si>
    <t xml:space="preserve">Prediction of CaCO3 scaling in pipes using ANN, oil production explicit</t>
  </si>
  <si>
    <t xml:space="preserve">U420</t>
  </si>
  <si>
    <t xml:space="preserve">Patterson D.; Williams W.; Jordan M.; Douglas R.</t>
  </si>
  <si>
    <t xml:space="preserve">Preproduction-deployed scale-inhibition treatments in deepwater West Africa</t>
  </si>
  <si>
    <t xml:space="preserve">10.2118/169784-pa</t>
  </si>
  <si>
    <t xml:space="preserve">Preproduction-deployed SI treatments, deepwater West Africa, explicit</t>
  </si>
  <si>
    <t xml:space="preserve">U421</t>
  </si>
  <si>
    <t xml:space="preserve">Khormali A.A.</t>
  </si>
  <si>
    <t xml:space="preserve">Prevention of formation damage caused by mineral scale deposition in carbonate reservoirs using scale inhibitors</t>
  </si>
  <si>
    <t xml:space="preserve">10.3997/2214-4609.201701481</t>
  </si>
  <si>
    <t xml:space="preserve">Prevention of formation damage from mineral scale, carbonate reservoirs, SI</t>
  </si>
  <si>
    <t xml:space="preserve">U422</t>
  </si>
  <si>
    <t xml:space="preserve">Shady M.; Okafor C.; Pazzi J.; Thomas O.; Sule A.; Ali A.M.; Hamdane T.; Hachelaf H.; Allal A.; Collela L.; Latronico R.; Marfella F.</t>
  </si>
  <si>
    <t xml:space="preserve">Reviving a fractured water injection well: The first use of clay acid stimulation in a major oil field in Algeria</t>
  </si>
  <si>
    <t xml:space="preserve">10.2118/183742-ms</t>
  </si>
  <si>
    <t xml:space="preserve">Fractured water injection well revival via clay acid stimulation - acid focus</t>
  </si>
  <si>
    <t xml:space="preserve">U423</t>
  </si>
  <si>
    <t xml:space="preserve">Ribeiro A.S.; Mackay E.J.; Guimarães L.J.N.; Jordan M.; Fellows S.</t>
  </si>
  <si>
    <t xml:space="preserve">Scale risk management during CO2 WAG in carbonate formations</t>
  </si>
  <si>
    <t xml:space="preserve">IOR NORWAY 2017 - 19th European Symposium on Improved Oil Recovery: Sustainable IOR in a Low Oil Price World</t>
  </si>
  <si>
    <t xml:space="preserve">10.3997/2214-4609.201700302</t>
  </si>
  <si>
    <t xml:space="preserve">Scale risk management during CO2 WAG, carbonate formations, reactive transport</t>
  </si>
  <si>
    <t xml:space="preserve">U424</t>
  </si>
  <si>
    <t xml:space="preserve">Zhang F.; Dai Z.; Zhang Z.; Al-Saiari H.; Yan F.; Bhandari N.; Ruan G.; Liu Y.; Lu Y.-T.; Deng G.; Kan A.T.; Tomson M.B.</t>
  </si>
  <si>
    <t xml:space="preserve">Scaling risk and inhibition prediction of carbonate scale at high temperature</t>
  </si>
  <si>
    <t xml:space="preserve">10.2118/184518-ms</t>
  </si>
  <si>
    <t xml:space="preserve">Scaling risk/inhibition prediction, carbonate scale at high temperature, oilfield</t>
  </si>
  <si>
    <t xml:space="preserve">U425</t>
  </si>
  <si>
    <t xml:space="preserve">Ghalib H.B.; Almallah I.A.R.</t>
  </si>
  <si>
    <t xml:space="preserve">Scaling simulation resulting from mixing predicted model between Mishrif formation water and different waters injection in Basrah oil field, southern Iraq</t>
  </si>
  <si>
    <t xml:space="preserve">10.1007/s40808-017-0384-y</t>
  </si>
  <si>
    <t xml:space="preserve">Scaling simulation, mixing model, Mishrif formation water, Basrah oilfield Iraq</t>
  </si>
  <si>
    <t xml:space="preserve">U426</t>
  </si>
  <si>
    <t xml:space="preserve">Spicka K.J.; Holding Eagle L.; Littlehales I.; Fidoe J.; Jordan M.M.; Zosel Z.; Glasser S.</t>
  </si>
  <si>
    <t xml:space="preserve">Squeezing the Bakken: Successful scale squeeze programs lead to shift in Bakken scale control</t>
  </si>
  <si>
    <t xml:space="preserve">10.2118/184565-ms</t>
  </si>
  <si>
    <t xml:space="preserve">Squeezing the Bakken: scale squeeze programs in shale wells, explicit</t>
  </si>
  <si>
    <t xml:space="preserve">U427</t>
  </si>
  <si>
    <t xml:space="preserve">Kartnaller V.; Venâncio F.; Cajaiba J.; Do Rosário F.</t>
  </si>
  <si>
    <t xml:space="preserve">Study of the effect of monoethylene glycol MEG on the precipitation of calcium carbonate in a pressurized dynamic system</t>
  </si>
  <si>
    <t xml:space="preserve">10.4043/28111-ms</t>
  </si>
  <si>
    <t xml:space="preserve">Effect of MEG on CaCO3 precipitation, pressurized dynamic system, O&amp;G production</t>
  </si>
  <si>
    <t xml:space="preserve">U428</t>
  </si>
  <si>
    <t xml:space="preserve">Mady M.F.; Kelland M.A.</t>
  </si>
  <si>
    <t xml:space="preserve">Study on Various Readily Available Proteins as New Green Scale Inhibitors for Oilfield Scale Control</t>
  </si>
  <si>
    <t xml:space="preserve">10.1021/acs.energyfuels.7b00508</t>
  </si>
  <si>
    <t xml:space="preserve">Readily available proteins as green SI, oilfield scale control, explicit</t>
  </si>
  <si>
    <t xml:space="preserve">U429</t>
  </si>
  <si>
    <t xml:space="preserve">Azaza H.; Doggaz A.; Mechi L.; Optasanu V.; Tlili M.; Amor M.B.</t>
  </si>
  <si>
    <t xml:space="preserve">Synthesis of intermediate crystal Ba1-xCaxSO4 system via co-precipitation of BaSO4-CaSO4 and partial hindrance of gypsum formation</t>
  </si>
  <si>
    <t xml:space="preserve">10.5004/dwt.2017.20188</t>
  </si>
  <si>
    <t xml:space="preserve">Synthesis of Ba-Ca-SO4 co-precipitation, hydrocarbon production facilities explicit</t>
  </si>
  <si>
    <t xml:space="preserve">U430</t>
  </si>
  <si>
    <t xml:space="preserve">Ramstad K.; McCartney R.; Aarrestad H.D.; Lien S.K.; Johnsen R.I.</t>
  </si>
  <si>
    <t xml:space="preserve">The Johan Sverdrup field: Origin of sulfate-rich formation water and impact on scale-management strategy</t>
  </si>
  <si>
    <t xml:space="preserve">10.2118/179895-pa</t>
  </si>
  <si>
    <t xml:space="preserve">Johan Sverdrup field: sulfate-rich formation water, scale-management strategy</t>
  </si>
  <si>
    <t xml:space="preserve">U431</t>
  </si>
  <si>
    <t xml:space="preserve">Shen D.; Bhaduri S.; Vo M.; Carman P.; Satya Gupta D.V.; Pandey Y.</t>
  </si>
  <si>
    <t xml:space="preserve">The application of solid inhibitor for calcium sulfate scale control under high pressure and temperature conditions</t>
  </si>
  <si>
    <t xml:space="preserve">Solid inhibitor for CaSO4 scale control, HPHT, oil and gas production explicit</t>
  </si>
  <si>
    <t xml:space="preserve">U432</t>
  </si>
  <si>
    <t xml:space="preserve">Effect of turbulence on mineral scale control in oilfield - core turbulence RQ paper</t>
  </si>
  <si>
    <t xml:space="preserve">U433</t>
  </si>
  <si>
    <t xml:space="preserve">Verri G.; Sorbie K.S.</t>
  </si>
  <si>
    <t xml:space="preserve">The impact of field measurements, data handling procedures and software selection on carbonate and sulphide scale predictions</t>
  </si>
  <si>
    <t xml:space="preserve">10.2118/189218-ms</t>
  </si>
  <si>
    <t xml:space="preserve">Impact of field measurements/software on carbonate/sulphide scale predictions</t>
  </si>
  <si>
    <t xml:space="preserve">U434</t>
  </si>
  <si>
    <t xml:space="preserve">Lu P.; Wang Q.; Chen T.; Chang F.</t>
  </si>
  <si>
    <t xml:space="preserve">A new approach for modeling scale formation during water injection into carbonate reservoirs</t>
  </si>
  <si>
    <t xml:space="preserve">Society of Petroleum Engineers - SPE Kingdom of Saudi Arabia Annual Technical Symposium and Exhibition</t>
  </si>
  <si>
    <t xml:space="preserve">10.2118/182762-ms</t>
  </si>
  <si>
    <t xml:space="preserve">New approach for modeling scale formation, water injection, carbonate reservoirs</t>
  </si>
  <si>
    <t xml:space="preserve">U435</t>
  </si>
  <si>
    <t xml:space="preserve">10.2118/179875-ms</t>
  </si>
  <si>
    <t xml:space="preserve">CaSO4 scaling risk/inhibition, steamflood project, Middle Eastern oilfield</t>
  </si>
  <si>
    <t xml:space="preserve">U436</t>
  </si>
  <si>
    <t xml:space="preserve">Bhandari N.; Kan A.T.; Dai Z.; Zhang F.; Yan F.; Ruan G.G.; Alsaiari H.A.; Zhang Z.; Liu Y.; Lu Y.; Deng G.; Tomson M.B.</t>
  </si>
  <si>
    <t xml:space="preserve">Effect of hydrodynamic pressure on mineral precipitation kinetics and scaling risk at HPHT</t>
  </si>
  <si>
    <t xml:space="preserve">10.2118/179873-ms</t>
  </si>
  <si>
    <t xml:space="preserve">Hydrodynamic pressure effect on mineral precipitation kinetics, HPHT seawater injection</t>
  </si>
  <si>
    <t xml:space="preserve">U437</t>
  </si>
  <si>
    <t xml:space="preserve">Al Nasser W.N.; Shah U.V.; Nikiforou K.; Petrou P.; Heng J.Y.Y.</t>
  </si>
  <si>
    <t xml:space="preserve">Effect of silica nanoparticles to prevent calcium carbonate scaling using an in situ turbidimetre</t>
  </si>
  <si>
    <t xml:space="preserve">10.1016/j.cherd.2015.12.006</t>
  </si>
  <si>
    <t xml:space="preserve">Silica nanoparticles to prevent CaCO3 scaling, in-situ turbidimetre, oil and gas</t>
  </si>
  <si>
    <t xml:space="preserve">U438</t>
  </si>
  <si>
    <t xml:space="preserve">Thyne G.; Brady P.</t>
  </si>
  <si>
    <t xml:space="preserve">Evaluation of formation water chemistry and scale prediction: Bakken Shale</t>
  </si>
  <si>
    <t xml:space="preserve">10.1016/j.apgeochem.2016.10.015</t>
  </si>
  <si>
    <t xml:space="preserve">Evaluation of formation water chemistry/scale prediction, Bakken Shale, explicit</t>
  </si>
  <si>
    <t xml:space="preserve">U439</t>
  </si>
  <si>
    <t xml:space="preserve">Beta-cyclodextrin-PEG green SI for produced water, shale gas well explicit</t>
  </si>
  <si>
    <t xml:space="preserve">U440</t>
  </si>
  <si>
    <t xml:space="preserve">Experimental analysis of CaCO3 scale formation/inhibition, waterflooding carbonate</t>
  </si>
  <si>
    <t xml:space="preserve">U441</t>
  </si>
  <si>
    <t xml:space="preserve">Goodwin N.; Graham G.M.; Frigo D.M.; Kremer E.</t>
  </si>
  <si>
    <t xml:space="preserve">Halite deposition - Prediction and laboratory evaluation</t>
  </si>
  <si>
    <t xml:space="preserve">10.2118/179861-ms</t>
  </si>
  <si>
    <t xml:space="preserve">Halite deposition prediction/laboratory evaluation, gas production wells explicit</t>
  </si>
  <si>
    <t xml:space="preserve">U442</t>
  </si>
  <si>
    <t xml:space="preserve">Başaran C.; Gökgöz A.</t>
  </si>
  <si>
    <t xml:space="preserve">Hydrochemical and isotopic properties of Heybeli geothermal area (Afyon, Turkey)</t>
  </si>
  <si>
    <t xml:space="preserve">10.1007/s12517-016-2628-y</t>
  </si>
  <si>
    <t xml:space="preserve">Hydrochemical/isotopic properties of Heybeli geothermal area - no scale focus</t>
  </si>
  <si>
    <t xml:space="preserve">U443</t>
  </si>
  <si>
    <t xml:space="preserve">Hu Y.-S.; Min C.</t>
  </si>
  <si>
    <t xml:space="preserve">Identification and modeling of geochemical reactions occurring within the sandstone reservoir flooded by seawater</t>
  </si>
  <si>
    <t xml:space="preserve">10.1080/10916466.2016.1198807</t>
  </si>
  <si>
    <t xml:space="preserve">Geochemical reactions in sandstone reservoir, seawater flooding, North Sea scaling</t>
  </si>
  <si>
    <t xml:space="preserve">U444</t>
  </si>
  <si>
    <t xml:space="preserve">Sui X.; Wang B.; Li Q.; Wu H.</t>
  </si>
  <si>
    <t xml:space="preserve">In-depth understanding of the formation and mechanism of calcium carbonate scale on different temperature by dynamic probing of the aggregation kinetics and morphology</t>
  </si>
  <si>
    <t xml:space="preserve">Journal of Computational and Theoretical Nanoscience</t>
  </si>
  <si>
    <t xml:space="preserve">10.1166/jctn.2016.4569</t>
  </si>
  <si>
    <t xml:space="preserve">Formation/mechanism of CaCO3 scale via aggregation kinetics, oil production explicit</t>
  </si>
  <si>
    <t xml:space="preserve">U445</t>
  </si>
  <si>
    <t xml:space="preserve">Seiersten M.; Beck R.</t>
  </si>
  <si>
    <t xml:space="preserve">Iron carbonate scaling on hot surfaces in Monoethylene Glycol MEG solutions</t>
  </si>
  <si>
    <t xml:space="preserve">10.2118/179914-ms</t>
  </si>
  <si>
    <t xml:space="preserve">FeCO3 scaling on hot surfaces in MEG solutions, pipelines/heat exchanger explicit</t>
  </si>
  <si>
    <t xml:space="preserve">U446</t>
  </si>
  <si>
    <t xml:space="preserve">Ma J.; Proppants S.-G.; Fuss T.; Shi J.</t>
  </si>
  <si>
    <t xml:space="preserve">Iron sulfide scale deposition in deep sour reservoirs</t>
  </si>
  <si>
    <t xml:space="preserve">Iron sulfide scale deposition in deep sour reservoirs, explicit</t>
  </si>
  <si>
    <t xml:space="preserve">U447</t>
  </si>
  <si>
    <t xml:space="preserve">Ma J.; Fuss T.; Shi J.</t>
  </si>
  <si>
    <t xml:space="preserve">SPE International Formation Damage Control Symposium Proceedings</t>
  </si>
  <si>
    <t xml:space="preserve">10.2118/179009-ms</t>
  </si>
  <si>
    <t xml:space="preserve">Duplicate of U446 - same tag</t>
  </si>
  <si>
    <t xml:space="preserve">U448</t>
  </si>
  <si>
    <t xml:space="preserve">Iron sulphide scale management, high H2S/CO2 carbonate reservoirs, explicit</t>
  </si>
  <si>
    <t xml:space="preserve">U449</t>
  </si>
  <si>
    <t xml:space="preserve">Kinetics of BaSO4 surface scaling/inhibition, once-through flow, oil and gas</t>
  </si>
  <si>
    <t xml:space="preserve">U450</t>
  </si>
  <si>
    <t xml:space="preserve">Laboratory investigation of a new scale inhibitor for preventing calcium carbonate precipitation in oil reservoirs and production equipment</t>
  </si>
  <si>
    <t xml:space="preserve">Petroleum Science</t>
  </si>
  <si>
    <t xml:space="preserve">10.1007/s12182-016-0085-6</t>
  </si>
  <si>
    <t xml:space="preserve">Lab investigation, new SI preventing CaCO3 precipitation, oil reservoirs/equipment</t>
  </si>
  <si>
    <t xml:space="preserve">U451</t>
  </si>
  <si>
    <t xml:space="preserve">Gill J.S.; Jacobs G.T.; Butler S.</t>
  </si>
  <si>
    <t xml:space="preserve">Mitigation of calcium sulfate scaling in geothermal production wells</t>
  </si>
  <si>
    <t xml:space="preserve">Mitigation of CaSO4 scaling in geothermal production wells - geothermal</t>
  </si>
  <si>
    <t xml:space="preserve">U452</t>
  </si>
  <si>
    <t xml:space="preserve">Modelling CaCO3 scale in CO2-WAG processes, pre-salt Brazil explicit</t>
  </si>
  <si>
    <t xml:space="preserve">U453</t>
  </si>
  <si>
    <t xml:space="preserve">Wangen M.; Sagenv J.; Bjørnstad T.; Johansen H.; Souche A.</t>
  </si>
  <si>
    <t xml:space="preserve">Models for calcium carbonate precipitation in the near-well zone by degassing of CO2</t>
  </si>
  <si>
    <t xml:space="preserve">Open Petroleum Engineering Journal</t>
  </si>
  <si>
    <t xml:space="preserve">10.2174/1874834101609160178</t>
  </si>
  <si>
    <t xml:space="preserve">Models for CaCO3 precipitation near-well zone, CO2 degassing, water producing wells</t>
  </si>
  <si>
    <t xml:space="preserve">U454</t>
  </si>
  <si>
    <t xml:space="preserve">Arab M.M.; Sorbie K.S.; Singleton M.</t>
  </si>
  <si>
    <t xml:space="preserve">Mutual solvent driven inorganic precipitation in the pre-flush stage of squeeze treatments</t>
  </si>
  <si>
    <t xml:space="preserve">10.2118/179033-ms</t>
  </si>
  <si>
    <t xml:space="preserve">Mutual solvent inorganic precipitation, pre-flush stage of SI squeeze treatments</t>
  </si>
  <si>
    <t xml:space="preserve">U455</t>
  </si>
  <si>
    <t xml:space="preserve">Duplicate of U454 - same tag</t>
  </si>
  <si>
    <t xml:space="preserve">U456</t>
  </si>
  <si>
    <t xml:space="preserve">Vazquez O.; Herrero P.; Mackay E.; Jordan M.</t>
  </si>
  <si>
    <t xml:space="preserve">Non-aqueous vs aqueous overflush scale inhibitor squeeze treatment in an oilfield offshore Norway</t>
  </si>
  <si>
    <t xml:space="preserve">10.1016/j.petrol.2015.11.033</t>
  </si>
  <si>
    <t xml:space="preserve">Non-aqueous vs aqueous overflush SI squeeze treatment, offshore Norway explicit</t>
  </si>
  <si>
    <t xml:space="preserve">U457</t>
  </si>
  <si>
    <t xml:space="preserve">Hebert J.; Leasure J.</t>
  </si>
  <si>
    <t xml:space="preserve">Pioneering a new method to prevent scale in deep water, high pressure reservoirs - A gulf of Mexico case study</t>
  </si>
  <si>
    <t xml:space="preserve">10.2118/179882-ms</t>
  </si>
  <si>
    <t xml:space="preserve">Pioneering method to prevent scale, deepwater HP reservoirs, Gulf of Mexico</t>
  </si>
  <si>
    <t xml:space="preserve">U458</t>
  </si>
  <si>
    <t xml:space="preserve">Jaho S.; Sygouni V.; Rokidi S.G.; Parthenios J.; Koutsoukos P.G.; Paraskeva C.A.</t>
  </si>
  <si>
    <t xml:space="preserve">Precipitation of Calcium Carbonate in Porous Media in the Presence of n-Dodecane</t>
  </si>
  <si>
    <t xml:space="preserve">10.1021/acs.cgd.6b01048</t>
  </si>
  <si>
    <t xml:space="preserve">Precipitation of CaCO3 in porous media with n-dodecane, oil and gas extraction</t>
  </si>
  <si>
    <t xml:space="preserve">U459</t>
  </si>
  <si>
    <t xml:space="preserve">Ribeiro A.S.; Mackay E.J.; Guimarães L.</t>
  </si>
  <si>
    <t xml:space="preserve">Predicting calcite scaling risk due to dissolution and re-precipitation in carbonate reservoirs during CO2 injection</t>
  </si>
  <si>
    <t xml:space="preserve">Predicting calcite scaling risk, dissolution/re-precipitation, carbonate CO2 injection</t>
  </si>
  <si>
    <t xml:space="preserve">U460</t>
  </si>
  <si>
    <t xml:space="preserve">Figueroa D.C.; Fosbøl P.L.; Thomsen K.</t>
  </si>
  <si>
    <t xml:space="preserve">Prediction and experimental determination of the solubility of exotic scales at high temperatures - Zinc sulfide</t>
  </si>
  <si>
    <t xml:space="preserve">10.2118/179877-ms</t>
  </si>
  <si>
    <t xml:space="preserve">Prediction/determination of exotic scale solubility (ZnS), HP/HT reservoirs explicit</t>
  </si>
  <si>
    <t xml:space="preserve">U461</t>
  </si>
  <si>
    <t xml:space="preserve">Yang X.; Li W.; Guo L.; Liu X.; Feng H.</t>
  </si>
  <si>
    <t xml:space="preserve">Prediction of CaCO3 scaling in water injection wellbore</t>
  </si>
  <si>
    <t xml:space="preserve">Applied Thermal Engineering</t>
  </si>
  <si>
    <t xml:space="preserve">10.1016/j.applthermaleng.2015.12.048</t>
  </si>
  <si>
    <t xml:space="preserve">Prediction of CaCO3 scaling in water injection wellbore, software explicit</t>
  </si>
  <si>
    <t xml:space="preserve">U462</t>
  </si>
  <si>
    <t xml:space="preserve">Khormali A.; Ghasemi M.F.; Petrakov D.G.; Jafarpour H.</t>
  </si>
  <si>
    <t xml:space="preserve">Prediction of the calcium sulfate deposition under reservoir conditions for water injection process</t>
  </si>
  <si>
    <t xml:space="preserve">GeoBaikal 2016 - 4th International Conference: From East Siberia to the Pacific - Geology, Exploration and Development</t>
  </si>
  <si>
    <t xml:space="preserve">10.3997/2214-4609.201601701</t>
  </si>
  <si>
    <t xml:space="preserve">Prediction of CaSO4 deposition under reservoir conditions, water injection explicit</t>
  </si>
  <si>
    <t xml:space="preserve">U463</t>
  </si>
  <si>
    <t xml:space="preserve">Cavazza M.</t>
  </si>
  <si>
    <t xml:space="preserve">Reducing Freshwater Consumption in the Marcellus Shale Play by Recycling Flowback with Acid Mine Drainage</t>
  </si>
  <si>
    <t xml:space="preserve">10.2118/184499-STU</t>
  </si>
  <si>
    <t xml:space="preserve">Freshwater reduction via AMD recycling, Marcellus Shale - sulfate/scaling implied</t>
  </si>
  <si>
    <t xml:space="preserve">U464</t>
  </si>
  <si>
    <t xml:space="preserve">Reducing freshwater consumption in the marcellus shale play by recycling flowback with acid mine drainage</t>
  </si>
  <si>
    <t xml:space="preserve">10.2118/184499-stu</t>
  </si>
  <si>
    <t xml:space="preserve">Duplicate of U463 - same tag</t>
  </si>
  <si>
    <t xml:space="preserve">U465</t>
  </si>
  <si>
    <t xml:space="preserve">Scale formation and control under turbulent conditions, oilfield pipes - core turbulence RQ</t>
  </si>
  <si>
    <t xml:space="preserve">U466</t>
  </si>
  <si>
    <t xml:space="preserve">Surface inorganic scale formation, oil and gas industry, adhesion/deposition explicit</t>
  </si>
  <si>
    <t xml:space="preserve">U467</t>
  </si>
  <si>
    <t xml:space="preserve">Ramstad K.; McCartney R.; Aarrestad H.D.; Lien S.K.; Sæther Ø.; Johnsen R.I.</t>
  </si>
  <si>
    <t xml:space="preserve">The Johan Sverdrup field - Origin of sulphate-rich formation water and impact on scale management strategy</t>
  </si>
  <si>
    <t xml:space="preserve">10.2118/179895-ms</t>
  </si>
  <si>
    <t xml:space="preserve">Duplicate of U430 (Johan Sverdrup field) - same tag</t>
  </si>
  <si>
    <t xml:space="preserve">U468</t>
  </si>
  <si>
    <t xml:space="preserve">Sanni O.; Bukuaghangin O.; Charpentier T.; Kapur N.; Neville A.</t>
  </si>
  <si>
    <t xml:space="preserve">Using a real-time visualisation technique for the assessment of surface scale kinetics and mechanisms of inhibition</t>
  </si>
  <si>
    <t xml:space="preserve">10.2118/179896-ms</t>
  </si>
  <si>
    <t xml:space="preserve">Real-time visualisation of surface scale kinetics/inhibition, oil and gas industry</t>
  </si>
  <si>
    <t xml:space="preserve">U469</t>
  </si>
  <si>
    <t xml:space="preserve">Golsefatan A.R.; Safari M.; Jamialahmadi M.</t>
  </si>
  <si>
    <t xml:space="preserve">Using silica nanoparticles to improve DETPMP scale inhibitor performance as a novel calcium sulfate inhibitor</t>
  </si>
  <si>
    <t xml:space="preserve">10.1080/19443994.2015.1119742</t>
  </si>
  <si>
    <t xml:space="preserve">Silica nanoparticles improve DETPMP CaSO4 inhibitor performance, EOR waterflooding</t>
  </si>
  <si>
    <t xml:space="preserve">I001</t>
  </si>
  <si>
    <t xml:space="preserve">H. de Swardt</t>
  </si>
  <si>
    <t xml:space="preserve">Effective Cleaning Process of Water Heat Exchangers and Water Jackets of Motors and Generators</t>
  </si>
  <si>
    <t xml:space="preserve">2026 IEEE Green Technologies Conference (GreenTech)</t>
  </si>
  <si>
    <t xml:space="preserve">10.1109/GreenTech68285.2026.11471560</t>
  </si>
  <si>
    <t xml:space="preserve">IEEE Block D (18)</t>
  </si>
  <si>
    <t xml:space="preserve">Mineral scale in wind/hydro generator water-cooled exchangers - power generation, not oilfield, transferable</t>
  </si>
  <si>
    <t xml:space="preserve">I002</t>
  </si>
  <si>
    <t xml:space="preserve">Ultrasonic inspection of scale thickness, titanium seawater pipelines, explicit monitoring method</t>
  </si>
  <si>
    <t xml:space="preserve">IEEE Block E (5)</t>
  </si>
  <si>
    <t xml:space="preserve">IEEE Block F (13)</t>
  </si>
  <si>
    <t xml:space="preserve">I003</t>
  </si>
  <si>
    <t xml:space="preserve">Non-contact scale-thickness measurement, industrial pipes - generic industrial, not oilfield-specific</t>
  </si>
  <si>
    <t xml:space="preserve">I004</t>
  </si>
  <si>
    <t xml:space="preserve">D. Inocente</t>
  </si>
  <si>
    <t xml:space="preserve">Resource Management Technologies</t>
  </si>
  <si>
    <t xml:space="preserve">Space Architecture: Principles, Challenges, and Innovations</t>
  </si>
  <si>
    <t xml:space="preserve">10.1002/9781394318131.ch14</t>
  </si>
  <si>
    <t xml:space="preserve">Space architecture resource-management book chapter - unrelated domain</t>
  </si>
  <si>
    <t xml:space="preserve">I005</t>
  </si>
  <si>
    <t xml:space="preserve">M. I. Iqbal; V. K. Kudapa</t>
  </si>
  <si>
    <t xml:space="preserve">18 Injection Water Treatment</t>
  </si>
  <si>
    <t xml:space="preserve">Oil Well Production Mechanism: Training Manual on Well Production Operations for Non-production Engineers (Oil and Gas Production Operations)</t>
  </si>
  <si>
    <t xml:space="preserve">IEEE Block G (11)</t>
  </si>
  <si>
    <t xml:space="preserve">'Injection Water Treatment' - generic training-manual chapter overview, not a focused study</t>
  </si>
  <si>
    <t xml:space="preserve">I006</t>
  </si>
  <si>
    <t xml:space="preserve">9 Well Analysis</t>
  </si>
  <si>
    <t xml:space="preserve">'Well Analysis' - generic non-technical training-manual chapter, no scale content</t>
  </si>
  <si>
    <t xml:space="preserve">I007</t>
  </si>
  <si>
    <t xml:space="preserve">Fiber optic SPR sensor for silica scale formation monitoring, geothermal CO2 context</t>
  </si>
  <si>
    <t xml:space="preserve">I008</t>
  </si>
  <si>
    <t xml:space="preserve">K. E. Bannister</t>
  </si>
  <si>
    <t xml:space="preserve">Lubrication terms and references beginning with the letters A to Z</t>
  </si>
  <si>
    <t xml:space="preserve">Lubripedia: A 1001 Concise Illustrated Encyclopedia Reference of all Things Lubrication</t>
  </si>
  <si>
    <t xml:space="preserve">Lubrication encyclopedia A-Z reference - unrelated domain</t>
  </si>
  <si>
    <t xml:space="preserve">I009</t>
  </si>
  <si>
    <t xml:space="preserve">A. A. Litvinenko; Y. V. Vankov; A. R. Timershin; D. E. Sharafiev; R. A. Ponomarev</t>
  </si>
  <si>
    <t xml:space="preserve">The Method of Obtaining Deposits on the Heat Exchange Surface of Heat Exchangers</t>
  </si>
  <si>
    <t xml:space="preserve">2025 7th International Youth Conference on Radio Electronics, Electrical and Power Engineering (REEPE)</t>
  </si>
  <si>
    <t xml:space="preserve">10.1109/REEPE63962.2025.10970875</t>
  </si>
  <si>
    <t xml:space="preserve">Deposits on heat-exchanger surface - general industrial heat exchanger, not oilfield</t>
  </si>
  <si>
    <t xml:space="preserve">I010</t>
  </si>
  <si>
    <t xml:space="preserve">Real-time fiber-optic monitoring of CaCO3 precipitation, HT/HP conditions, explicit</t>
  </si>
  <si>
    <t xml:space="preserve">I011</t>
  </si>
  <si>
    <t xml:space="preserve">Water quality influence on power-plant cooling system - transferable, not oilfield</t>
  </si>
  <si>
    <t xml:space="preserve">I012</t>
  </si>
  <si>
    <t xml:space="preserve">E. Tziperman</t>
  </si>
  <si>
    <t xml:space="preserve">Global Warming Science: A Quantitative Introduction to Climate Change and Its Consequences</t>
  </si>
  <si>
    <t xml:space="preserve">Global Warming Science textbook - unrelated domain</t>
  </si>
  <si>
    <t xml:space="preserve">I013</t>
  </si>
  <si>
    <t xml:space="preserve">C. Qi; Z. Xie</t>
  </si>
  <si>
    <t xml:space="preserve">ScaleChem Scaling Prediction Software Used in oil well scaling and protection in Heyangshan oil area</t>
  </si>
  <si>
    <t xml:space="preserve">2022 Global Conference on Robotics, Artificial Intelligence and Information Technology (GCRAIT)</t>
  </si>
  <si>
    <t xml:space="preserve">10.1109/GCRAIT55928.2022.00167</t>
  </si>
  <si>
    <t xml:space="preserve">ScaleChem prediction software, oil well scaling China field, explicit</t>
  </si>
  <si>
    <t xml:space="preserve">I014</t>
  </si>
  <si>
    <t xml:space="preserve">S. Alimbekova</t>
  </si>
  <si>
    <t xml:space="preserve">Electromagnetic Device for Preventing and Combating Operational Disturbances at Oil and Gas Fields</t>
  </si>
  <si>
    <t xml:space="preserve">2021 International Conference on Electrotechnical Complexes and Systems (ICOECS)</t>
  </si>
  <si>
    <t xml:space="preserve">10.1109/ICOECS52783.2021.9657283</t>
  </si>
  <si>
    <t xml:space="preserve">Electromagnetic device preventing oilfield equipment scale deposits, explicit</t>
  </si>
  <si>
    <t xml:space="preserve">I015</t>
  </si>
  <si>
    <t xml:space="preserve">G. Marin; A. Akhmetshin; A. Shubina</t>
  </si>
  <si>
    <t xml:space="preserve">Improving the Efficiency of the Combined Recycle Cooling System of Medium-power Combined Cycle Power Units</t>
  </si>
  <si>
    <t xml:space="preserve">2021 3rd International Conference on Control Systems, Mathematical Modeling, Automation and Energy Efficiency (SUMMA)</t>
  </si>
  <si>
    <t xml:space="preserve">10.1109/SUMMA53307.2021.9632157</t>
  </si>
  <si>
    <t xml:space="preserve">Combined-cycle power plant cooling system corrosion/efficiency - transferable, not scale-focused</t>
  </si>
  <si>
    <t xml:space="preserve">I016</t>
  </si>
  <si>
    <t xml:space="preserve">S. Alimbekova; I. Bayguskarov; R. Alimbekov; F. Ishmuratov; D. Kochukova; I. Engalichev</t>
  </si>
  <si>
    <t xml:space="preserve">Using of Electrical Complex RWC on Oil and Gas Wells to Prevent and Combat Scale Deposits</t>
  </si>
  <si>
    <t xml:space="preserve">10.1109/ICOECS52783.2021.9657282</t>
  </si>
  <si>
    <t xml:space="preserve">Electrical complex to prevent/combat scale deposits, oil and gas wells, explicit</t>
  </si>
  <si>
    <t xml:space="preserve">I017</t>
  </si>
  <si>
    <t xml:space="preserve">Fan-beam tomography for geothermal pipe evaluation - adjacent industry monitoring method</t>
  </si>
  <si>
    <t xml:space="preserve">I018</t>
  </si>
  <si>
    <t xml:space="preserve">M. I. Iqbal; S. Khan</t>
  </si>
  <si>
    <t xml:space="preserve">2 Acidization</t>
  </si>
  <si>
    <t xml:space="preserve">Coiled Tubing and Other Stimulation Techniques: Formation Damage, Well Stimulation Techniques for Production Enhancement</t>
  </si>
  <si>
    <t xml:space="preserve">'Acidization' - generic stimulation-technique book chapter, non-substantive</t>
  </si>
  <si>
    <t xml:space="preserve">I019</t>
  </si>
  <si>
    <t xml:space="preserve">4 Formation Damage</t>
  </si>
  <si>
    <t xml:space="preserve">'Formation Damage' - generic non-substantive book chapter fragment</t>
  </si>
  <si>
    <t xml:space="preserve">I020</t>
  </si>
  <si>
    <t xml:space="preserve">Papers by title</t>
  </si>
  <si>
    <t xml:space="preserve">2019 8th International Conference on Modeling Simulation and Applied Optimization (ICMSAO)</t>
  </si>
  <si>
    <t xml:space="preserve">10.1109/ICMSAO.2019.8880446</t>
  </si>
  <si>
    <t xml:space="preserve">'Papers by title' - conference table-of-contents index entry, non-substantive</t>
  </si>
  <si>
    <t xml:space="preserve">I021</t>
  </si>
  <si>
    <t xml:space="preserve">H. Ezuber</t>
  </si>
  <si>
    <t xml:space="preserve">Simple mathematical model for predicting anhydrite calcium sulfate scale deposition in brines</t>
  </si>
  <si>
    <t xml:space="preserve">10.1109/ICMSAO.2019.8880372</t>
  </si>
  <si>
    <t xml:space="preserve">Anhydrite CaSO4 scale deposition prediction model in brines, oilfield explicit</t>
  </si>
  <si>
    <t xml:space="preserve">I022</t>
  </si>
  <si>
    <t xml:space="preserve">Table of Content</t>
  </si>
  <si>
    <t xml:space="preserve">10.1109/ICMSAO.2019.8880286</t>
  </si>
  <si>
    <t xml:space="preserve">'Table of Content' - conference index entry, non-substantive</t>
  </si>
  <si>
    <t xml:space="preserve">I023</t>
  </si>
  <si>
    <t xml:space="preserve">16 Environmental Impacts of Desalination Plants</t>
  </si>
  <si>
    <t xml:space="preserve">A Multidisciplinary Introduction to Desalination</t>
  </si>
  <si>
    <t xml:space="preserve">Desalination plants environmental impacts - generic book chapter, not scale-specific</t>
  </si>
  <si>
    <t xml:space="preserve">I024</t>
  </si>
  <si>
    <t xml:space="preserve">3 Fundamentals of Desalination Technology</t>
  </si>
  <si>
    <t xml:space="preserve">Fundamentals of desalination technology - generic intro book chapter</t>
  </si>
  <si>
    <t xml:space="preserve">I025</t>
  </si>
  <si>
    <t xml:space="preserve">5 Thermal Processes</t>
  </si>
  <si>
    <t xml:space="preserve">Thermal desalination processes - generic book chapter, not scale-specific</t>
  </si>
  <si>
    <t xml:space="preserve">I026</t>
  </si>
  <si>
    <t xml:space="preserve">6 Membrane Desalination Technologies</t>
  </si>
  <si>
    <t xml:space="preserve">Membrane desalination technologies - generic book chapter, not scale-specific</t>
  </si>
  <si>
    <t xml:space="preserve">I027</t>
  </si>
  <si>
    <t xml:space="preserve">Fiber optic sensor for CaCO3 scale formation monitoring, geothermal water, explicit</t>
  </si>
  <si>
    <t xml:space="preserve">W001</t>
  </si>
  <si>
    <t xml:space="preserve">Ahmadi, S; Khormali, A; Kazemzadeh, Y; Dehghani, MR</t>
  </si>
  <si>
    <t xml:space="preserve">A novel hybrid CCD-ML approach for predicting permeability alterations in carbonate reservoir rocks during waterflooding under scale inhibitor treatment</t>
  </si>
  <si>
    <t xml:space="preserve">SCIENTIFIC REPORTS</t>
  </si>
  <si>
    <t xml:space="preserve">10.1038/s41598-026-47599-z</t>
  </si>
  <si>
    <t xml:space="preserve">WoS frozen (192)</t>
  </si>
  <si>
    <t xml:space="preserve">Hybrid CCD-ML permeability alteration, carbonate reservoir waterflooding, scale inhibitor, explicit</t>
  </si>
  <si>
    <t xml:space="preserve">W002</t>
  </si>
  <si>
    <t xml:space="preserve">Abdulmutalib, A; Hamidi, H; Far, AJ</t>
  </si>
  <si>
    <t xml:space="preserve">Application of Ultrasound for Mineral Scale Remediation in Well Production Tubing: A Review of Advances in Scale Prevention and Removal Technologies</t>
  </si>
  <si>
    <t xml:space="preserve">ENERGIES</t>
  </si>
  <si>
    <t xml:space="preserve">10.3390/en19163862</t>
  </si>
  <si>
    <t xml:space="preserve">Ultrasound for mineral scale remediation, well production tubing review, explicit</t>
  </si>
  <si>
    <t xml:space="preserve">W003</t>
  </si>
  <si>
    <t xml:space="preserve">Moussa, B; Ali, AM; Abdeljaber, T; Abdelbasset, MM</t>
  </si>
  <si>
    <t xml:space="preserve">JOURNAL OF AFRICAN EARTH SCIENCES</t>
  </si>
  <si>
    <t xml:space="preserve">W004</t>
  </si>
  <si>
    <t xml:space="preserve">Saidler, LA; Siqueira, RD; Schluter, HEP; Martins, AL; Loureiro, BV</t>
  </si>
  <si>
    <t xml:space="preserve">Calcium Carbonate Scaling in Pipes in the Presence of CO2: Experimental Evaluation of Deposited Mass and Adhesion</t>
  </si>
  <si>
    <t xml:space="preserve">APPLIED SCIENCES-BASEL</t>
  </si>
  <si>
    <t xml:space="preserve">10.3390/app16094123</t>
  </si>
  <si>
    <t xml:space="preserve">CaCO3 scaling in pipes with CO2, oil wells pre-salt HPHT, explicit</t>
  </si>
  <si>
    <t xml:space="preserve">W005</t>
  </si>
  <si>
    <t xml:space="preserve">Ali, HA; El-Makaty, FM; Liu, MC; Li, XM; Mady, MF</t>
  </si>
  <si>
    <t xml:space="preserve">JOURNAL OF WATER PROCESS ENGINEERING</t>
  </si>
  <si>
    <t xml:space="preserve">W006</t>
  </si>
  <si>
    <t xml:space="preserve">Ganie, SA; Khaled, M; Mady, MF</t>
  </si>
  <si>
    <t xml:space="preserve">ENERGY &amp; FUELS</t>
  </si>
  <si>
    <t xml:space="preserve">W007</t>
  </si>
  <si>
    <t xml:space="preserve">Sui, X; Wang, ZY; Sun, BJ; Guo, YK</t>
  </si>
  <si>
    <t xml:space="preserve">SPE JOURNAL</t>
  </si>
  <si>
    <t xml:space="preserve">W008</t>
  </si>
  <si>
    <t xml:space="preserve">CaCO3 scale thickness/volume fraction via neutron activation + DNN, pipeline oil/gas transport</t>
  </si>
  <si>
    <t xml:space="preserve">W009</t>
  </si>
  <si>
    <t xml:space="preserve">Zhang, B; Su, BY; Bai, YZ; Wu, SW; Liu, YH; Meng, ZC; Hou, BL</t>
  </si>
  <si>
    <t xml:space="preserve">JOURNAL OF MATERIALS ENGINEERING AND PERFORMANCE</t>
  </si>
  <si>
    <t xml:space="preserve">W010</t>
  </si>
  <si>
    <t xml:space="preserve">Wang, MJ; Zhuo, BH; Zhang, K; Gong, H; Dai, ZY; Xie, SC</t>
  </si>
  <si>
    <t xml:space="preserve">W011</t>
  </si>
  <si>
    <t xml:space="preserve">Veloso, CB; Silva, LCG; Landim, RT; Luna, FMT; Cavalcante , CL Jr</t>
  </si>
  <si>
    <t xml:space="preserve">Influence of different minerals of sandstone rocks on the retention of scale inhibitor</t>
  </si>
  <si>
    <t xml:space="preserve">CANADIAN JOURNAL OF CHEMICAL ENGINEERING</t>
  </si>
  <si>
    <t xml:space="preserve">10.1002/cjce.70179</t>
  </si>
  <si>
    <t xml:space="preserve">Sandstone mineral effect on scale-inhibitor retention, squeeze treatment, explicit</t>
  </si>
  <si>
    <t xml:space="preserve">W012</t>
  </si>
  <si>
    <t xml:space="preserve">Pires, GLC; Machado, GS; Loureiro, JBR; dos Santos, HN; Ramos, F</t>
  </si>
  <si>
    <t xml:space="preserve">GEOENERGY SCIENCE AND ENGINEERING</t>
  </si>
  <si>
    <t xml:space="preserve">W013</t>
  </si>
  <si>
    <t xml:space="preserve">Nassar, MY; Kamoun, EA; Alsadun, N; Masoud, EM; Hosny, R; Mubarak, MF</t>
  </si>
  <si>
    <t xml:space="preserve">Multifunctional poly(citric acid)-based ionic liquid polymer composite for scale control and emulsion stabilization: structural and interfacial mechanistic evaluation</t>
  </si>
  <si>
    <t xml:space="preserve">10.1038/s41598-026-49622-9</t>
  </si>
  <si>
    <t xml:space="preserve">Ionic liquid polymer for scale control + emulsion stabilization, high-salinity oilfield</t>
  </si>
  <si>
    <t xml:space="preserve">W014</t>
  </si>
  <si>
    <t xml:space="preserve">Correa-Muñoz, E; Butto-Miranda, N; Parra-Muñoz, N; Díaz-Soler, F; Yazdani-Pedram, M; Neira-Carrillo, A</t>
  </si>
  <si>
    <t xml:space="preserve">Nanoscale control of CaCO3 crystallization by sulfonated polyetherimide nanoparticles investigated via automatic potentiometric titration</t>
  </si>
  <si>
    <t xml:space="preserve">JOURNAL OF ENVIRONMENTAL CHEMICAL ENGINEERING</t>
  </si>
  <si>
    <t xml:space="preserve">Nanoscale CaCO3 crystallization control - generic 'industrial water systems', not oilfield-specific</t>
  </si>
  <si>
    <t xml:space="preserve">W015</t>
  </si>
  <si>
    <t xml:space="preserve">Ganie, SA; Pires, A; Baig, MT; Khaled, M; Mady, MF</t>
  </si>
  <si>
    <t xml:space="preserve">POLYMER</t>
  </si>
  <si>
    <t xml:space="preserve">W016</t>
  </si>
  <si>
    <t xml:space="preserve">Chen, SH; Hou, J; Da, C; Chen, T</t>
  </si>
  <si>
    <t xml:space="preserve">Phosphorus-based polymeric scale inhibitors for energy and water industries: Synthesis, inhibition mechanism, and field deployment</t>
  </si>
  <si>
    <t xml:space="preserve">10.1016/j.desal.2026.120456</t>
  </si>
  <si>
    <t xml:space="preserve">Phosphorus-based polymeric SI review, oil and gas production + desalination, explicit</t>
  </si>
  <si>
    <t xml:space="preserve">W017</t>
  </si>
  <si>
    <t xml:space="preserve">Ahmadi, S; Khormali, A</t>
  </si>
  <si>
    <t xml:space="preserve">POLYMERS</t>
  </si>
  <si>
    <t xml:space="preserve">W018</t>
  </si>
  <si>
    <t xml:space="preserve">Khormali, A; Ahmadi, S</t>
  </si>
  <si>
    <t xml:space="preserve">W019</t>
  </si>
  <si>
    <t xml:space="preserve">Hosseini, S; Sadeghein, A; Madadizadeh, A; Aghdam, MA; Riahi, S; Saviz, S</t>
  </si>
  <si>
    <t xml:space="preserve">WATER RESOURCES AND INDUSTRY</t>
  </si>
  <si>
    <t xml:space="preserve">W020</t>
  </si>
  <si>
    <t xml:space="preserve">Zhou, M; Liu, YX; Liu, WJ; Gu, Y; Yue, RH; Woo, HY; Meng, ZH; Zhou, JH</t>
  </si>
  <si>
    <t xml:space="preserve">Preparationof Green Sustained-Release Solid ScaleInhibitor for Inhibiting CaSO4 Scale in Oilfield Applications</t>
  </si>
  <si>
    <t xml:space="preserve">Green sustained-release solid SI for CaSO4, oilfield waterflooding, explicit</t>
  </si>
  <si>
    <t xml:space="preserve">W021</t>
  </si>
  <si>
    <t xml:space="preserve">Abdelaal, AT; El-Makaty, FM; Kelland, MA; Mady, MF</t>
  </si>
  <si>
    <t xml:space="preserve">W022</t>
  </si>
  <si>
    <t xml:space="preserve">Duarte, CAR; Andrade, JR; da Silva, LRR; Moura, RPG; Magalhaes, LD; de Moraes, JO; Tallone, JP; Gandini, LG; Martins, AL; de Souza, FJ</t>
  </si>
  <si>
    <t xml:space="preserve">Reduced order model for in</t>
  </si>
  <si>
    <t xml:space="preserve">POWDER TECHNOLOGY</t>
  </si>
  <si>
    <t xml:space="preserve">Reduced-order model for inorganic scaling in pipelines/ICDs (title truncated by WoS export)</t>
  </si>
  <si>
    <t xml:space="preserve">W023</t>
  </si>
  <si>
    <t xml:space="preserve">Zhao, Y; Su, BY; Bai, YZ; Wu, SW; Gao, L; Meng, ZC; Hou, BL</t>
  </si>
  <si>
    <t xml:space="preserve">JOURNAL OF DISPERSION SCIENCE AND TECHNOLOGY</t>
  </si>
  <si>
    <t xml:space="preserve">W024</t>
  </si>
  <si>
    <t xml:space="preserve">Zhou, SJ; Han, L; Ai, WX; Hu, HJ; Ma, LT; Qu, CT</t>
  </si>
  <si>
    <t xml:space="preserve">BRAZILIAN JOURNAL OF CHEMICAL ENGINEERING</t>
  </si>
  <si>
    <t xml:space="preserve">W025</t>
  </si>
  <si>
    <t xml:space="preserve">Misconceptions in scale inhibition mechanisms review, oilfield facilities among domains</t>
  </si>
  <si>
    <t xml:space="preserve">W026</t>
  </si>
  <si>
    <t xml:space="preserve">Liu, QP; Wang, LX; Liu, JY; He, LY</t>
  </si>
  <si>
    <t xml:space="preserve">PROCESSES</t>
  </si>
  <si>
    <t xml:space="preserve">W027</t>
  </si>
  <si>
    <t xml:space="preserve">PARTICUOLOGY</t>
  </si>
  <si>
    <t xml:space="preserve">W028</t>
  </si>
  <si>
    <t xml:space="preserve">Liu, YH; Su, BY; Bai, YZ; Wu, SW; Zhang, B; Meng, ZC; Hou, BL</t>
  </si>
  <si>
    <t xml:space="preserve">W029</t>
  </si>
  <si>
    <t xml:space="preserve">Zhang, HZ; Dong, MY; Ni, JJ; Li, B; Mao, HB; Chen, G; Tang, Y</t>
  </si>
  <si>
    <t xml:space="preserve">W030</t>
  </si>
  <si>
    <t xml:space="preserve">Meybodi, MK; Sorbie, KS; Vazquez, O; Mackay, EJ</t>
  </si>
  <si>
    <t xml:space="preserve">ADVANCES IN WATER RESOURCES</t>
  </si>
  <si>
    <t xml:space="preserve">W031</t>
  </si>
  <si>
    <t xml:space="preserve">W032</t>
  </si>
  <si>
    <t xml:space="preserve">Karaly, AH; Kelland, MA; Mady, MF</t>
  </si>
  <si>
    <t xml:space="preserve">ACS APPLIED POLYMER MATERIALS</t>
  </si>
  <si>
    <t xml:space="preserve">W033</t>
  </si>
  <si>
    <t xml:space="preserve">Yang, LY; Zhang, DL; Liu, CP; Yang, ZT; Fan, HM; Wei, ZY; Wu, HL; He, C</t>
  </si>
  <si>
    <t xml:space="preserve">Corrosion behavior of N80 steel in CO2-saturated brine coupled with ultra-high Cl- and Ca2+concentrations under static and flowing states</t>
  </si>
  <si>
    <t xml:space="preserve">GAS SCIENCE AND ENGINEERING</t>
  </si>
  <si>
    <t xml:space="preserve">10.1016/j.jgsce.2025.205547</t>
  </si>
  <si>
    <t xml:space="preserve">Corrosion behavior of N80 steel in CO2 brine - pure corrosion, no scale-formation focus</t>
  </si>
  <si>
    <t xml:space="preserve">W034</t>
  </si>
  <si>
    <t xml:space="preserve">Ganie, SA; Baig, MT; Mady, MF</t>
  </si>
  <si>
    <t xml:space="preserve">CARBOHYDRATE POLYMERS</t>
  </si>
  <si>
    <t xml:space="preserve">W035</t>
  </si>
  <si>
    <t xml:space="preserve">Victor-Oji, CO; Una, D; Joseph, A; Appah, D; Akaranta, O</t>
  </si>
  <si>
    <t xml:space="preserve">PETROLEUM SCIENCE AND TECHNOLOGY</t>
  </si>
  <si>
    <t xml:space="preserve">W036</t>
  </si>
  <si>
    <t xml:space="preserve">Barros, HNS; Pereira, KAB; Oliveira, MV; Rocha, LAB; Palermo, LCM; Mansur, CRE</t>
  </si>
  <si>
    <t xml:space="preserve">CHEMISTRYSELECT</t>
  </si>
  <si>
    <t xml:space="preserve">W037</t>
  </si>
  <si>
    <t xml:space="preserve">Chen, MG; Xu, KN; Tan, XC; Qiu, L</t>
  </si>
  <si>
    <t xml:space="preserve">Polymeric Barium and Strontium Sulfate Scale Inhibitors P(Maleic Anhydride/Acrylic Acid/Dimethyl Diallyl Ammonium Chloride/Sodium Styrene Sulfonate) with Quaternary Amine for Downhole Squeeze Application in Sandstone Reservoir at 120°C Seawater Condition</t>
  </si>
  <si>
    <t xml:space="preserve">10.2118/225439-PA</t>
  </si>
  <si>
    <t xml:space="preserve">Polymeric Ba/Sr sulfate SI, downhole squeeze, Weizhou oilfield, explicit</t>
  </si>
  <si>
    <t xml:space="preserve">W038</t>
  </si>
  <si>
    <t xml:space="preserve">Khodabakhshi, MJ; Bijani, M; Hasani, M</t>
  </si>
  <si>
    <t xml:space="preserve">Robust-tuning machine learning algorithms for precise prediction of permeability impairment due to CaCO3 deposition</t>
  </si>
  <si>
    <t xml:space="preserve">10.1038/s41598-025-11267-5</t>
  </si>
  <si>
    <t xml:space="preserve">ML permeability impairment prediction from CaCO3 deposition, EOR explicit</t>
  </si>
  <si>
    <t xml:space="preserve">W039</t>
  </si>
  <si>
    <t xml:space="preserve">Zhang, BR; Zhang, XC; Zhang, LP; Ali, SI; Tariq, SM</t>
  </si>
  <si>
    <t xml:space="preserve">Scale precipitation modeling in the presence of scale inhibitors using MSE-SRK model</t>
  </si>
  <si>
    <t xml:space="preserve">CHEMICAL PAPERS</t>
  </si>
  <si>
    <t xml:space="preserve">W040</t>
  </si>
  <si>
    <t xml:space="preserve">Zare, Z; Mahmoodi, L; Malayeri, MR</t>
  </si>
  <si>
    <t xml:space="preserve">Simulation and experimental study of calcium sulfate and barium sulfate scale formation and Inhibition in petroleum engineering</t>
  </si>
  <si>
    <t xml:space="preserve">10.1038/s41598-025-33276-0</t>
  </si>
  <si>
    <t xml:space="preserve">Simulation/experimental CaSO4/BaSO4 scale formation and inhibition, petroleum engineering</t>
  </si>
  <si>
    <t xml:space="preserve">W041</t>
  </si>
  <si>
    <t xml:space="preserve">Su, LN; Wang, Q; Wang, XM</t>
  </si>
  <si>
    <t xml:space="preserve">The formation mechanisms and management techniques of carbonate scale in CO2-rich coalbed methane wells</t>
  </si>
  <si>
    <t xml:space="preserve">10.1016/j.geoen.2025.213780</t>
  </si>
  <si>
    <t xml:space="preserve">Carbonate scale formation mechanisms, CO2-rich coalbed methane wells, explicit</t>
  </si>
  <si>
    <t xml:space="preserve">W042</t>
  </si>
  <si>
    <t xml:space="preserve">Meybodi, MK; Sorbie, KS; Vazquez, O; Mackay, EJ; Jarrahian, K; Igder, M</t>
  </si>
  <si>
    <t xml:space="preserve">A comprehensive equilibrium model for the phosphonate scale inhibitor-carbonate system including coupled adsorption/ precipitation (Γ/Π)</t>
  </si>
  <si>
    <t xml:space="preserve">COLLOIDS AND SURFACES A-PHYSICOCHEMICAL AND ENGINEERING ASPECTS</t>
  </si>
  <si>
    <t xml:space="preserve">W043</t>
  </si>
  <si>
    <t xml:space="preserve">Koshani, R; Yeh, SL; Pitcher, ML; Sheikhi, A</t>
  </si>
  <si>
    <t xml:space="preserve">ACS APPLIED MATERIALS &amp; INTERFACES</t>
  </si>
  <si>
    <t xml:space="preserve">W044</t>
  </si>
  <si>
    <t xml:space="preserve">Gupta, KK; Haratian, S; Mishin, OV; Ambat, R</t>
  </si>
  <si>
    <t xml:space="preserve">CO 2 corrosion resistance of low-alloy steel tempered at different temperatures</t>
  </si>
  <si>
    <t xml:space="preserve">10.1016/j.corsci.2024.112027</t>
  </si>
  <si>
    <t xml:space="preserve">CO2 corrosion resistance of tempered low-alloy steel - pure corrosion/metallurgy</t>
  </si>
  <si>
    <t xml:space="preserve">W045</t>
  </si>
  <si>
    <t xml:space="preserve">Amin, S; Kazama, S; Sawangjang, B; Takizawa, S</t>
  </si>
  <si>
    <t xml:space="preserve">WATER</t>
  </si>
  <si>
    <t xml:space="preserve">W046</t>
  </si>
  <si>
    <t xml:space="preserve">Wang, LC; Che, Y; Zhu, YR; Guo, SL; Ma, W; Zhao, QL; Li, G; Wang, LB</t>
  </si>
  <si>
    <t xml:space="preserve">JOURNAL OF APPLIED POLYMER SCIENCE</t>
  </si>
  <si>
    <t xml:space="preserve">W047</t>
  </si>
  <si>
    <t xml:space="preserve">Hong, H; Ye, TC; Zhang, J; Wang, ZM</t>
  </si>
  <si>
    <t xml:space="preserve">Corrosion mitigation behavior of mild steel in supercritical CO2 environments with varying the solution volume</t>
  </si>
  <si>
    <t xml:space="preserve">10.1016/j.corsci.2024.111853</t>
  </si>
  <si>
    <t xml:space="preserve">Corrosion mitigation mild steel supercritical CO2 - FeCO3 protective layer kinetics</t>
  </si>
  <si>
    <t xml:space="preserve">W048</t>
  </si>
  <si>
    <t xml:space="preserve">El Housse, M; Hadfi, A; Iberache, N; Karmal, I; El-Ghazouani, F; Ben-aazza, S; Belattar, M; Ammayen, I; Nassiri, M; Darbal, S; Riadi, Y; Ikiss, M; Driouiche, A</t>
  </si>
  <si>
    <t xml:space="preserve">Eco-friendly and sustainable approaches to control scaling in industrial plants: Challenges and advantages of the application of plant extracts as a probable alternative for traditional inhibitor-A review</t>
  </si>
  <si>
    <t xml:space="preserve">INDUSTRIAL CROPS AND PRODUCTS</t>
  </si>
  <si>
    <t xml:space="preserve">10.1016/j.indcrop.2024.120030</t>
  </si>
  <si>
    <t xml:space="preserve">Eco-friendly plant-extract scale inhibitors review, oil and gas named as target sector</t>
  </si>
  <si>
    <t xml:space="preserve">W049</t>
  </si>
  <si>
    <t xml:space="preserve">Oliveira, J; Ortiz, RWP; Passos, NS; Venancio, F; Gonçalves, VOO; Cajaiba, J; Ribeiro-Santos, R; Perrone, D; Kartnaller, V</t>
  </si>
  <si>
    <t xml:space="preserve">W050</t>
  </si>
  <si>
    <t xml:space="preserve">Wang, QW; Chen, T</t>
  </si>
  <si>
    <t xml:space="preserve">W051</t>
  </si>
  <si>
    <t xml:space="preserve">Qiu, Y; Zhang, T; Zhang, P</t>
  </si>
  <si>
    <t xml:space="preserve">JOURNAL OF HAZARDOUS MATERIALS</t>
  </si>
  <si>
    <t xml:space="preserve">W052</t>
  </si>
  <si>
    <t xml:space="preserve">Ebrahimi, M; Deymi, O; Hadavimoghaddam, F; Hemmati-Sarapardeh, A</t>
  </si>
  <si>
    <t xml:space="preserve">Modeling gypsum (calcium sulfate dihydrate) solubility in aqueous electrolyte solutions using extreme learning machine</t>
  </si>
  <si>
    <t xml:space="preserve">10.1016/j.jwpe.2023.104664</t>
  </si>
  <si>
    <t xml:space="preserve">Gypsum solubility modeling via ML - fundamental, no explicit oilfield context</t>
  </si>
  <si>
    <t xml:space="preserve">W053</t>
  </si>
  <si>
    <t xml:space="preserve">W054</t>
  </si>
  <si>
    <t xml:space="preserve">Ameen, AA; Panda, A; Mehaney, A; Tlija, M; Bellucci, S; Abukhadra, MR; Elsayed, HA</t>
  </si>
  <si>
    <t xml:space="preserve">RETRACTED: Investigation of an annular photonic crystal sensor for real-time monitoring of calcium carbonate scales in water distribution systems (Retracted article. See vol. 12, 2026)</t>
  </si>
  <si>
    <t xml:space="preserve">HELIYON</t>
  </si>
  <si>
    <t xml:space="preserve">10.1016/j.heliyon.2024.e39122</t>
  </si>
  <si>
    <t xml:space="preserve">RETRACTED article; also water distribution systems, not oilfield</t>
  </si>
  <si>
    <t xml:space="preserve">W055</t>
  </si>
  <si>
    <t xml:space="preserve">Freitas, VMS; Paschoalino, WJ; Vieira, LCS; Silva, JM; Couto, BC; Gobbi, AL; Lima, RS</t>
  </si>
  <si>
    <t xml:space="preserve">Sensitive Monitoring of the Minimum Inhibitor Concentration under Real Inorganic Scaling Scenarios</t>
  </si>
  <si>
    <t xml:space="preserve">10.1021/acsomega.4c04912</t>
  </si>
  <si>
    <t xml:space="preserve">Sensitive monitoring of MIC under inorganic scaling, flow assurance oil and gas, explicit</t>
  </si>
  <si>
    <t xml:space="preserve">W056</t>
  </si>
  <si>
    <t xml:space="preserve">Lobo, JS; Serpa, FS; Filho, EBM; Castro, BB; Borges, GR; Dariva, C; Franceschi, E</t>
  </si>
  <si>
    <t xml:space="preserve">W057</t>
  </si>
  <si>
    <t xml:space="preserve">Zhao, LB; Zhang, YL; He, YY; Yang, ZH; Liang, X; Wang, XP; Mao, Q</t>
  </si>
  <si>
    <t xml:space="preserve">W058</t>
  </si>
  <si>
    <t xml:space="preserve">Effect of particles in oilfield produced water on CaCO3 deposition, explicit</t>
  </si>
  <si>
    <t xml:space="preserve">W059</t>
  </si>
  <si>
    <t xml:space="preserve">Hashemi, SH; Besharati, Z; Torabi, F; Pimentel, N</t>
  </si>
  <si>
    <t xml:space="preserve">W060</t>
  </si>
  <si>
    <t xml:space="preserve">Wood, RJ; Hamidi, H; Far, AJ</t>
  </si>
  <si>
    <t xml:space="preserve">W061</t>
  </si>
  <si>
    <t xml:space="preserve">Venancio, F; Ortiz, RWP; Maravilha, TSL; Gonçalves, VOO; Rosário, FF; Fontes, RA; Freitas, TC; da Silva, TG; Kartnaller, V; Cajaiba, J</t>
  </si>
  <si>
    <t xml:space="preserve">W062</t>
  </si>
  <si>
    <t xml:space="preserve">Trukhina, M; Tkachenko, S; Ryabova, A; Oshchepkov, M; Redchuk, A; Popov, K</t>
  </si>
  <si>
    <t xml:space="preserve">MINERALS</t>
  </si>
  <si>
    <t xml:space="preserve">W063</t>
  </si>
  <si>
    <t xml:space="preserve">W064</t>
  </si>
  <si>
    <t xml:space="preserve">Hosseini, A; Talebi, S; Riahi, S</t>
  </si>
  <si>
    <t xml:space="preserve">W065</t>
  </si>
  <si>
    <t xml:space="preserve">Trukhina, M; Popov, K; Oshchepkov, M; Tkachenko, S; Vorob'eva, A; Guseva, O</t>
  </si>
  <si>
    <t xml:space="preserve">MATERIALS</t>
  </si>
  <si>
    <t xml:space="preserve">W066</t>
  </si>
  <si>
    <t xml:space="preserve">Paz, P; Netto, TA</t>
  </si>
  <si>
    <t xml:space="preserve">W067</t>
  </si>
  <si>
    <t xml:space="preserve">Mady, MF; Abdelaal, AT; Kelland, MA; Liakaki-Stavropoulou, S; Demadis, KD</t>
  </si>
  <si>
    <t xml:space="preserve">W068</t>
  </si>
  <si>
    <t xml:space="preserve">Pal, OR; Al-Ghamdi, NS</t>
  </si>
  <si>
    <t xml:space="preserve">Integrated analysis approach of water and solids for root cause of injectivity decline of water injection well - A case study</t>
  </si>
  <si>
    <t xml:space="preserve">W069</t>
  </si>
  <si>
    <t xml:space="preserve">Gruszka, M; Nagy, S</t>
  </si>
  <si>
    <t xml:space="preserve">Precipitation of Barium Sulphate during the Waterflooding Process in Polish Offshore Oilfields-Case Analysis</t>
  </si>
  <si>
    <t xml:space="preserve">W070</t>
  </si>
  <si>
    <t xml:space="preserve">W071</t>
  </si>
  <si>
    <t xml:space="preserve">Wang, MY; Tan, MY; Zhu, YS; Huang, Y; Xu, YZ</t>
  </si>
  <si>
    <t xml:space="preserve">NPJ MATERIALS DEGRADATION</t>
  </si>
  <si>
    <t xml:space="preserve">W072</t>
  </si>
  <si>
    <t xml:space="preserve">Wu, BH; Wang, JY; Shi, SZ; Zhang, YN; Nie, Z; Li, Y</t>
  </si>
  <si>
    <t xml:space="preserve">PROCEEDINGS OF ASME 2023 42ND INTERNATIONAL CONFERENCE ON OCEAN, OFFSHORE &amp; ARCTIC ENGINEERING, OMAE2023, VOL 9</t>
  </si>
  <si>
    <t xml:space="preserve">W073</t>
  </si>
  <si>
    <t xml:space="preserve">Rafiee, H; Sorbie, KS; Mackay, EJ</t>
  </si>
  <si>
    <t xml:space="preserve">FRONTIERS IN MATERIALS</t>
  </si>
  <si>
    <t xml:space="preserve">W074</t>
  </si>
  <si>
    <t xml:space="preserve">Dilsiz, EA; Mihcakan, IM</t>
  </si>
  <si>
    <t xml:space="preserve">W075</t>
  </si>
  <si>
    <t xml:space="preserve">Li, HT; Li, R</t>
  </si>
  <si>
    <t xml:space="preserve">GEOFLUIDS</t>
  </si>
  <si>
    <t xml:space="preserve">W076</t>
  </si>
  <si>
    <t xml:space="preserve">Biopolymer eco-friendly scale inhibitors review, petroleum industry, explicit</t>
  </si>
  <si>
    <t xml:space="preserve">W077</t>
  </si>
  <si>
    <t xml:space="preserve">Shaban, MM; Negm, NA; Farag, RK; Fadda, AA; Gomaa, AE; Farag, AA; Migahed, MA</t>
  </si>
  <si>
    <t xml:space="preserve">JOURNAL OF MOLECULAR LIQUIDS</t>
  </si>
  <si>
    <t xml:space="preserve">W078</t>
  </si>
  <si>
    <t xml:space="preserve">Deep neural network + gamma-ray eccentric scale calculation, oil industry pipelines</t>
  </si>
  <si>
    <t xml:space="preserve">W079</t>
  </si>
  <si>
    <t xml:space="preserve">ANN + MCNP6 for BaSO4 scale thickness/volume fractions, oil industry pipelines</t>
  </si>
  <si>
    <t xml:space="preserve">W080</t>
  </si>
  <si>
    <t xml:space="preserve">Jew, AD; Druhan, JL; Ihme, M; Kovscek, AR; Battiato, I; Kaszuba, JP; Bargar, JR; Brown, GE</t>
  </si>
  <si>
    <t xml:space="preserve">Chemical and Reactive Transport Processes Associated with Hydraulic Fracturing of Unconventional Oil/Gas Shales</t>
  </si>
  <si>
    <t xml:space="preserve">CHEMICAL REVIEWS</t>
  </si>
  <si>
    <t xml:space="preserve">10.1021/acs.chemrev.1c00504</t>
  </si>
  <si>
    <t xml:space="preserve">Reactive transport of hydraulic fracturing fluid in shales - geochemistry, not scale-specific</t>
  </si>
  <si>
    <t xml:space="preserve">W081</t>
  </si>
  <si>
    <t xml:space="preserve">Ferreira, BX; Barbosa, CRH; Cajaiba, J; Kartnaller, V; Santos, BF</t>
  </si>
  <si>
    <t xml:space="preserve">W082</t>
  </si>
  <si>
    <t xml:space="preserve">Mohammed, I; Isah, A; Al Shehri, D; Mahmoud, M; Arif, M; Kamal, MS; Alade, OS; Patil, S</t>
  </si>
  <si>
    <t xml:space="preserve">W083</t>
  </si>
  <si>
    <t xml:space="preserve">Bisatto, R; Picoli, VM; Petzhold, CL</t>
  </si>
  <si>
    <t xml:space="preserve">W084</t>
  </si>
  <si>
    <t xml:space="preserve">Liu, Y; Dai, ZY; Kan, AT; Tomson, MB; Zhang, P</t>
  </si>
  <si>
    <t xml:space="preserve">W085</t>
  </si>
  <si>
    <t xml:space="preserve">Gasimli, N; Mahmoud, M; Kamal, MS; Patil, S; Alsaiari, HA; Hussein, IA</t>
  </si>
  <si>
    <t xml:space="preserve">W086</t>
  </si>
  <si>
    <t xml:space="preserve">Minimizing barite scale in carbonate formations, filter cake removal, oil and gas explicit</t>
  </si>
  <si>
    <t xml:space="preserve">W087</t>
  </si>
  <si>
    <t xml:space="preserve">Li, W; Dai, ZY; Wang, X; Ko, SB; Paudyal, S; Yao, XZ; Leschied, C; Shen, YY; Pimentel, D; Kan, AT; Tomson, M</t>
  </si>
  <si>
    <t xml:space="preserve">Observations of CO2 Corrosion-Induced Carbonate Scale Formation and Inhibition on Mild Steel</t>
  </si>
  <si>
    <t xml:space="preserve">W088</t>
  </si>
  <si>
    <t xml:space="preserve">Wang, HJ; Dong, HX; Liu, XB; Zhang, P</t>
  </si>
  <si>
    <t xml:space="preserve">Preparation and Laboratory Testing of Polymeric Scale Inhibitor Colloidal Materials for Oilfield Mineral Scale Control</t>
  </si>
  <si>
    <t xml:space="preserve">10.3390/polym14194240</t>
  </si>
  <si>
    <t xml:space="preserve">Polymeric SI colloidal materials for oilfield mineral scale control, explicit</t>
  </si>
  <si>
    <t xml:space="preserve">W089</t>
  </si>
  <si>
    <t xml:space="preserve">Talebi, S; Riahi, S; Rostami, B</t>
  </si>
  <si>
    <t xml:space="preserve">W090</t>
  </si>
  <si>
    <t xml:space="preserve">Mahmoodi, A; Nick, HM</t>
  </si>
  <si>
    <t xml:space="preserve">The interplay between microbial reservoir souring and barite scale formation in hydrocarbon reservoirs</t>
  </si>
  <si>
    <t xml:space="preserve">JOURNAL OF CLEANER PRODUCTION</t>
  </si>
  <si>
    <t xml:space="preserve">10.1016/j.jclepro.2022.134234</t>
  </si>
  <si>
    <t xml:space="preserve">Microbial reservoir souring and barite scale formation, hydrocarbon reservoirs, explicit</t>
  </si>
  <si>
    <t xml:space="preserve">W091</t>
  </si>
  <si>
    <t xml:space="preserve">Onawole, AT; Hussein, IA; Saad, MA; Ismail, N; Alshami, A; Nasser, MS</t>
  </si>
  <si>
    <t xml:space="preserve">W092</t>
  </si>
  <si>
    <t xml:space="preserve">Shajari, M; Rashidi, F</t>
  </si>
  <si>
    <t xml:space="preserve">A New Coupled Model for Permeability-Impairment Prediction Because of Mineral Scale Deposition in Water-Injection Wells</t>
  </si>
  <si>
    <t xml:space="preserve">SPE RESERVOIR EVALUATION &amp; ENGINEERING</t>
  </si>
  <si>
    <t xml:space="preserve">W093</t>
  </si>
  <si>
    <t xml:space="preserve">Zotzmann, J; Hastreiter, N; Mayanna, S; Reinsch, T; Regenspurg, S</t>
  </si>
  <si>
    <t xml:space="preserve">APPLIED GEOCHEMISTRY</t>
  </si>
  <si>
    <t xml:space="preserve">W094</t>
  </si>
  <si>
    <t xml:space="preserve">Dai, ZY; Lu, YT; Kan, A; Leschied, C; Zhao, Y; Dai, C; Wang, X; Paudyal, S; Ko, S; Tomson, M</t>
  </si>
  <si>
    <t xml:space="preserve">A mechanistic software platform for mineral surface deposition and inhibition prediction under different flow conditions</t>
  </si>
  <si>
    <t xml:space="preserve">10.1016/j.desal.2021.115071</t>
  </si>
  <si>
    <t xml:space="preserve">Mechanistic software platform for mineral deposition/inhibition prediction, oil and gas named</t>
  </si>
  <si>
    <t xml:space="preserve">W095</t>
  </si>
  <si>
    <t xml:space="preserve">Mady, MF; Abdel-Azeim, S; Kelland, MA</t>
  </si>
  <si>
    <t xml:space="preserve">INDUSTRIAL &amp; ENGINEERING CHEMISTRY RESEARCH</t>
  </si>
  <si>
    <t xml:space="preserve">W096</t>
  </si>
  <si>
    <t xml:space="preserve">Tranter, M; De Lucia, M; Kühn, M</t>
  </si>
  <si>
    <t xml:space="preserve">Barite Scaling Potential Modelled for Fractured-Porous Geothermal Reservoirs</t>
  </si>
  <si>
    <t xml:space="preserve">W097</t>
  </si>
  <si>
    <t xml:space="preserve">Onawole, AT; Hussein, IA; Saad, MA; Ahmed, MEM; Nimir, H</t>
  </si>
  <si>
    <t xml:space="preserve">W098</t>
  </si>
  <si>
    <t xml:space="preserve">Malaie, K; Shojaei, O; Iranpour, S; Taherkhani, Z</t>
  </si>
  <si>
    <t xml:space="preserve">Crystal growth inhibition of gypsum under normal conditions and high supersaturations by a copolymer of phosphino-polycarboxylic acid</t>
  </si>
  <si>
    <t xml:space="preserve">10.1016/j.heliyon.2021.e06064</t>
  </si>
  <si>
    <t xml:space="preserve">Crystal growth inhibition of gypsum (PPCA), oilfield water systems, explicit</t>
  </si>
  <si>
    <t xml:space="preserve">W099</t>
  </si>
  <si>
    <t xml:space="preserve">Qazvini, S; Golkari, A; Azdarpour, A; Santos, RM; Safavi, MS; Norouzpour, M</t>
  </si>
  <si>
    <t xml:space="preserve">W100</t>
  </si>
  <si>
    <t xml:space="preserve">Lü, Y; Lu, K; Bai, YX; Ma, YL; Ren, YS</t>
  </si>
  <si>
    <t xml:space="preserve">Fouling characteristics of 90° elbow in high salinity wastewater from coal chemical industry</t>
  </si>
  <si>
    <t xml:space="preserve">CHINESE JOURNAL OF CHEMICAL ENGINEERING</t>
  </si>
  <si>
    <t xml:space="preserve">10.1016/j.cjche.2020.09.034</t>
  </si>
  <si>
    <t xml:space="preserve">Fouling in 90-degree elbow, coal chemical industry wastewater - transferable, not oilfield</t>
  </si>
  <si>
    <t xml:space="preserve">W101</t>
  </si>
  <si>
    <t xml:space="preserve">Gonzalez, AH; Frankel, G; Vera, J; Durnie, W; Woollam, R</t>
  </si>
  <si>
    <t xml:space="preserve">Galvanic Interactions Between Fe Electrodes in CO2-Saturated Solutions with Different pH</t>
  </si>
  <si>
    <t xml:space="preserve">CORROSION</t>
  </si>
  <si>
    <t xml:space="preserve">10.5006/3556</t>
  </si>
  <si>
    <t xml:space="preserve">Galvanic interactions Fe electrodes CO2 - FeCO3 scale breakdown central to mechanism</t>
  </si>
  <si>
    <t xml:space="preserve">W102</t>
  </si>
  <si>
    <t xml:space="preserve">Banks, J; Poulette, S; Grimmer, J; Bauer, F; Schill, E</t>
  </si>
  <si>
    <t xml:space="preserve">Geochemical Changes Associated with High-Temperature Heat Storage at Intermediate Depth: Thermodynamic Equilibrium Models for the DeepStor Site in the Upper Rhine Graben, Germany</t>
  </si>
  <si>
    <t xml:space="preserve">W103</t>
  </si>
  <si>
    <t xml:space="preserve">Global sensitivity analysis, reactive transport model for scale during hydraulic fracturing</t>
  </si>
  <si>
    <t xml:space="preserve">W104</t>
  </si>
  <si>
    <t xml:space="preserve">Khormali, A; Bahlakeh, G; Struchkov, I; Kazemzadeh, Y</t>
  </si>
  <si>
    <t xml:space="preserve">Increasing inhibition performance of simultaneous precipitation of calcium and strontium sulfate scales using a new inhibitor ? Laboratory and field application</t>
  </si>
  <si>
    <t xml:space="preserve">W105</t>
  </si>
  <si>
    <t xml:space="preserve">ACS SUSTAINABLE CHEMISTRY &amp; ENGINEERING</t>
  </si>
  <si>
    <t xml:space="preserve">W106</t>
  </si>
  <si>
    <t xml:space="preserve">Al Kalbani, M; Jordan, M; Mackay, E; Sorbie, K; Nghiem, L</t>
  </si>
  <si>
    <t xml:space="preserve">W107</t>
  </si>
  <si>
    <t xml:space="preserve">Lu, AYT; Kan, AT; Tomson, MB</t>
  </si>
  <si>
    <t xml:space="preserve">CRYSTAL GROWTH &amp; DESIGN</t>
  </si>
  <si>
    <t xml:space="preserve">W108</t>
  </si>
  <si>
    <t xml:space="preserve">Khasani; Deendarlianto; Itoi, R</t>
  </si>
  <si>
    <t xml:space="preserve">ENGINEERING APPLICATIONS OF COMPUTATIONAL FLUID MECHANICS</t>
  </si>
  <si>
    <t xml:space="preserve">W109</t>
  </si>
  <si>
    <t xml:space="preserve">Zhao, Y; Dai, ZY; Dai, C; Paudyal, S; Wang, X; Ko, S; Kan, AT; Tomson, M</t>
  </si>
  <si>
    <t xml:space="preserve">W110</t>
  </si>
  <si>
    <t xml:space="preserve">Habibi, A; Fensky, CE; Roostaei, M; Mahmoudi, M; Fattahpour, V; Zeng, HB; Sadrzadeh, M</t>
  </si>
  <si>
    <t xml:space="preserve">A Laboratory Workflow for Characterization of Scaling Deposits in Thermal Wells</t>
  </si>
  <si>
    <t xml:space="preserve">10.3390/en13123184</t>
  </si>
  <si>
    <t xml:space="preserve">Lab workflow characterizing scaling deposits in thermal wells, explicit</t>
  </si>
  <si>
    <t xml:space="preserve">W111</t>
  </si>
  <si>
    <t xml:space="preserve">Kang, WL; Wang, TY; Zhang, HW; Hou, XY; Zhang, XF; Zhu, TY; Chen, C; Yang, HB</t>
  </si>
  <si>
    <t xml:space="preserve">W112</t>
  </si>
  <si>
    <t xml:space="preserve">Shabani, A; Sisakhti, H; Sheikhi, S; Barzegar, F</t>
  </si>
  <si>
    <t xml:space="preserve">W113</t>
  </si>
  <si>
    <t xml:space="preserve">Tranter, M; De Lucia, M; Wolfgramm, M; Kühn, M</t>
  </si>
  <si>
    <t xml:space="preserve">Barite Scale Formation and Injectivity Loss Models for Geothermal Systems</t>
  </si>
  <si>
    <t xml:space="preserve">W114</t>
  </si>
  <si>
    <t xml:space="preserve">Al Kalbani, MM; Jordan, MM; Mackay, EJ; Sorbie, KS; Nghiem, L</t>
  </si>
  <si>
    <t xml:space="preserve">SPE PRODUCTION &amp; OPERATIONS</t>
  </si>
  <si>
    <t xml:space="preserve">W115</t>
  </si>
  <si>
    <t xml:space="preserve">Shahzad, K; Sliem, MH; Shakoor, RA; Radwan, AB; Kahraman, R; Umer, MA; Manzoor, U; Abdullah, AM</t>
  </si>
  <si>
    <t xml:space="preserve">Electrochemical and thermodynamic study on the corrosion performance of API X120 steel in 3.5% NaCl solution</t>
  </si>
  <si>
    <t xml:space="preserve">10.1038/s41598-020-61139-3</t>
  </si>
  <si>
    <t xml:space="preserve">Electrochemical/thermodynamic corrosion study API X120 steel - pure corrosion, no scale focus</t>
  </si>
  <si>
    <t xml:space="preserve">W116</t>
  </si>
  <si>
    <t xml:space="preserve">Mady, MF; Bayat, P; Kelland, MA</t>
  </si>
  <si>
    <t xml:space="preserve">Environmentally Friendly Phosphonated Polyetheramine Scale Inhibitors-Excellent Calcium Compatibility for Oilfield Applications</t>
  </si>
  <si>
    <t xml:space="preserve">W117</t>
  </si>
  <si>
    <t xml:space="preserve">Al-Samhan, M; Alanezi, K; Al-Fadhli, J; Al-Attar, F; Mukadam, S; George, J</t>
  </si>
  <si>
    <t xml:space="preserve">W118</t>
  </si>
  <si>
    <t xml:space="preserve">Fernandes, RS; Beserra, NLR; Souza, MAF; Lima, DF; Castro, BB; Balaban, RC</t>
  </si>
  <si>
    <t xml:space="preserve">W119</t>
  </si>
  <si>
    <t xml:space="preserve">Chen, M; Li, X; Tong, SY; Mohanty, K; Wang, YQ; Yang, WP; Hazlett, R; Lu, J</t>
  </si>
  <si>
    <t xml:space="preserve">W120</t>
  </si>
  <si>
    <t xml:space="preserve">Lu, AYT; Harouaka, K; Paudyal, S; Ko, S; Dai, C; Gao, SJ; Deng, GN; Zhao, Y; Wang, X; Mateen, S; Kan, AT; Tomson, MB</t>
  </si>
  <si>
    <t xml:space="preserve">W121</t>
  </si>
  <si>
    <t xml:space="preserve">Zhang, Z; Kan, AT; Tomson, MB; Zhang, P</t>
  </si>
  <si>
    <t xml:space="preserve">Laboratory investigation of co-precipitation of CaCO3/BaCO3 mineral scale solids at oilfield operating conditions: Impact of brine chemistry</t>
  </si>
  <si>
    <t xml:space="preserve">OIL AND GAS SCIENCE AND TECHNOLOGY-REVUE D IFP ENERGIES NOUVELLES</t>
  </si>
  <si>
    <t xml:space="preserve">Lab co-precipitation CaCO3/BaCO3, oilfield operating conditions, explicit</t>
  </si>
  <si>
    <t xml:space="preserve">W122</t>
  </si>
  <si>
    <t xml:space="preserve">Dastjerdi, AM; Kargozarfard, Z; Najafi, B; Taghikhani, V; Ayatollahi, S</t>
  </si>
  <si>
    <t xml:space="preserve">W123</t>
  </si>
  <si>
    <t xml:space="preserve">Giglio, A; Tran, H; Björk, M; Wadsborn, R; Lagimodiere, H; Dion, M</t>
  </si>
  <si>
    <t xml:space="preserve">Mill experience of calcium carbonate scale formation in green liquor pipelines</t>
  </si>
  <si>
    <t xml:space="preserve">TAPPI JOURNAL</t>
  </si>
  <si>
    <t xml:space="preserve">10.32964/TJ19.8.387</t>
  </si>
  <si>
    <t xml:space="preserve">Kraft pulp mill green liquor CaCO3 scaling - unrelated industry</t>
  </si>
  <si>
    <t xml:space="preserve">W124</t>
  </si>
  <si>
    <t xml:space="preserve">Kargozarfard, Z; Haghtalab, A; Ayatollahi, S; Badizad, MH</t>
  </si>
  <si>
    <t xml:space="preserve">Molecular Dynamics Simulation of Calcium Sulfate Nucleation in Homogeneous and Heterogeneous Crystallization Conditions: An Application in Water Flooding</t>
  </si>
  <si>
    <t xml:space="preserve">10.1021/acs.iecr.0c04290</t>
  </si>
  <si>
    <t xml:space="preserve">MD simulation of CaSO4 nucleation, water flooding oil reservoir, explicit</t>
  </si>
  <si>
    <t xml:space="preserve">W125</t>
  </si>
  <si>
    <t xml:space="preserve">Li, CJ; Wang, B; Jia, WL; Li, GL</t>
  </si>
  <si>
    <t xml:space="preserve">W126</t>
  </si>
  <si>
    <t xml:space="preserve">Elsarawy, AM; Nasr-El-Din, HA</t>
  </si>
  <si>
    <t xml:space="preserve">SPE DRILLING &amp; COMPLETION</t>
  </si>
  <si>
    <t xml:space="preserve">W127</t>
  </si>
  <si>
    <t xml:space="preserve">Chen, T; Wang, QW; Chang, F; Aljeaban, N; Alnoaimi, K</t>
  </si>
  <si>
    <t xml:space="preserve">Recent Development and Remaining Challenges of Iron Sulfide Scale Mitigation in Sour-Gas Wells</t>
  </si>
  <si>
    <t xml:space="preserve">W128</t>
  </si>
  <si>
    <t xml:space="preserve">Zhang, P</t>
  </si>
  <si>
    <t xml:space="preserve">Review of Synthesis and Evaluation of Inhibitor Nanomaterials for Oilfield Mineral Scale Control</t>
  </si>
  <si>
    <t xml:space="preserve">FRONTIERS IN CHEMISTRY</t>
  </si>
  <si>
    <t xml:space="preserve">10.3389/fchem.2020.576055</t>
  </si>
  <si>
    <t xml:space="preserve">Review of inhibitor nanomaterials for oilfield mineral scale control, explicit</t>
  </si>
  <si>
    <t xml:space="preserve">W129</t>
  </si>
  <si>
    <t xml:space="preserve">Mohammed, S; Asgar, H; Kuzmenko, I; Gadikota, G</t>
  </si>
  <si>
    <t xml:space="preserve">Self-Assembly of Silica Nanoparticles at Water-Hydrocarbon Interfaces: Insights from In Operando Small-Angle X-ray Scattering Measurements and Molecular Dynamics Simulations</t>
  </si>
  <si>
    <t xml:space="preserve">10.1021/acs.energyfuels.0c02759</t>
  </si>
  <si>
    <t xml:space="preserve">Silica nanoparticle self-assembly at water-hydrocarbon interfaces - fundamental colloid science</t>
  </si>
  <si>
    <t xml:space="preserve">W130</t>
  </si>
  <si>
    <t xml:space="preserve">Zhang, X; Zang, C; Ma, HL; Wang, ZJ</t>
  </si>
  <si>
    <t xml:space="preserve">ULTRASONICS SONOCHEMISTRY</t>
  </si>
  <si>
    <t xml:space="preserve">W131</t>
  </si>
  <si>
    <t xml:space="preserve">Younis, SA; El-Salamony, RA; Tsang, YF; Kim, KH</t>
  </si>
  <si>
    <t xml:space="preserve">W132</t>
  </si>
  <si>
    <t xml:space="preserve">Popov, K; Oshchepkov, M; Afanas'eva, E; Koltinova, E; Dikareva, Y; Rönkkömäki, H</t>
  </si>
  <si>
    <t xml:space="preserve">W133</t>
  </si>
  <si>
    <t xml:space="preserve">Zheng, H; Pu, CS</t>
  </si>
  <si>
    <t xml:space="preserve">Comprehensive Research of Scaling Prediction for Gas Reservoir Fluid considering Phase State</t>
  </si>
  <si>
    <t xml:space="preserve">10.1155/2019/5067345</t>
  </si>
  <si>
    <t xml:space="preserve">Scaling prediction for gas reservoir fluid considering phase state, explicit</t>
  </si>
  <si>
    <t xml:space="preserve">W134</t>
  </si>
  <si>
    <t xml:space="preserve">Veisi, M; Johnson, S; Shafer-Peltier, K; Liang, JT; Berkland, C; Chen, M; Barati, R</t>
  </si>
  <si>
    <t xml:space="preserve">W135</t>
  </si>
  <si>
    <t xml:space="preserve">Zhang, P; Liu, Y; Kuok, SC; Kan, AT; Tomson, MB</t>
  </si>
  <si>
    <t xml:space="preserve">Development of modeling approaches to describe mineral scale deposition kinetics in porous medium and pipe flow system</t>
  </si>
  <si>
    <t xml:space="preserve">10.1016/j.petrol.2019.03.070</t>
  </si>
  <si>
    <t xml:space="preserve">Modeling mineral scale deposition kinetics, porous medium/pipe flow, oilfield explicit</t>
  </si>
  <si>
    <t xml:space="preserve">W136</t>
  </si>
  <si>
    <t xml:space="preserve">Sk, MH; Qi, J; Abdullah, AM; Laycock, N; Ryan, MP; Williams, DE</t>
  </si>
  <si>
    <t xml:space="preserve">Effect of Trace H2S on the Scale Formation Behavior in a Predominant CO2 Environment under Hydrodynamic Control: Role of Cr/Mo Micro-Alloying in Plain Carbon Steel</t>
  </si>
  <si>
    <t xml:space="preserve">JOURNAL OF THE ELECTROCHEMICAL SOCIETY</t>
  </si>
  <si>
    <t xml:space="preserve">10.1149/2.0311911jes</t>
  </si>
  <si>
    <t xml:space="preserve">Trace H2S effect on scale formation behavior in CO2 environment, carbon steel, explicit title</t>
  </si>
  <si>
    <t xml:space="preserve">W137</t>
  </si>
  <si>
    <t xml:space="preserve">Ghasemian, J; Riahi, S; Ayatollahi, S; Mokhtari, R</t>
  </si>
  <si>
    <t xml:space="preserve">W138</t>
  </si>
  <si>
    <t xml:space="preserve">Al Helal, A; Soames, A; Iglauer, S; Gubner, R; Barifcani, A</t>
  </si>
  <si>
    <t xml:space="preserve">W139</t>
  </si>
  <si>
    <t xml:space="preserve">de Souza, AVA; Rosário, F; Cajaiba, J</t>
  </si>
  <si>
    <t xml:space="preserve">Evaluation of Calcium Carbonate Inhibitors Using Sintered Metal Filter in a Pressurized Dynamic System</t>
  </si>
  <si>
    <t xml:space="preserve">10.3390/ma12111849</t>
  </si>
  <si>
    <t xml:space="preserve">CaCO3 inhibitor evaluation, sintered metal filter, oil and gas production explicit</t>
  </si>
  <si>
    <t xml:space="preserve">W140</t>
  </si>
  <si>
    <t xml:space="preserve">Zhang, P; Zhang, Z; Zhu, JY; Kan, AT; Tomson, MB</t>
  </si>
  <si>
    <t xml:space="preserve">Experimental Evaluation of Common Sulfate Mineral Scale Coprecipitation Kinetics in Oilfield Operating Conditions</t>
  </si>
  <si>
    <t xml:space="preserve">W141</t>
  </si>
  <si>
    <t xml:space="preserve">Khormali, A; Petrakov, DG; Jafarpour, H</t>
  </si>
  <si>
    <t xml:space="preserve">INNOVATION-BASED DEVELOPMENT OF THE MINERAL RESOURCES SECTOR: CHALLENGES AND PROSPECTS</t>
  </si>
  <si>
    <t xml:space="preserve">W142</t>
  </si>
  <si>
    <t xml:space="preserve">Fioravante, IA; Nunes, RS; Acciari, HA; Codaro, EN</t>
  </si>
  <si>
    <t xml:space="preserve">Films Formed on Carbon Steel in Sweet Environments - A Review</t>
  </si>
  <si>
    <t xml:space="preserve">JOURNAL OF THE BRAZILIAN CHEMICAL SOCIETY</t>
  </si>
  <si>
    <t xml:space="preserve">10.21577/0103-5053.20190055</t>
  </si>
  <si>
    <t xml:space="preserve">Films on carbon steel in sweet (CO2) environments review - corrosion-primary framing</t>
  </si>
  <si>
    <t xml:space="preserve">W143</t>
  </si>
  <si>
    <t xml:space="preserve">Ishkov, O; Guarnieri, R; Jordan, M; Mackay, E</t>
  </si>
  <si>
    <t xml:space="preserve">Impact of Temperature on Scale Formation in Chalk Reservoirs</t>
  </si>
  <si>
    <t xml:space="preserve">W144</t>
  </si>
  <si>
    <t xml:space="preserve">Costa, ZS; Meneses, CT; Castro, B; Serpa, FS; Franceschi, E; Borges, GR; Dariva, C; Salazar-Banda, GR</t>
  </si>
  <si>
    <t xml:space="preserve">Influence of magnetic field on barium sulfate incrustation from aqueous solutions</t>
  </si>
  <si>
    <t xml:space="preserve">10.1016/j.heliyon.2019.e02032</t>
  </si>
  <si>
    <t xml:space="preserve">Magnetic field influence on BaSO4 incrustation, petroleum industry explicit</t>
  </si>
  <si>
    <t xml:space="preserve">W145</t>
  </si>
  <si>
    <t xml:space="preserve">Sun, NN; Jiang, HY; Liang, AG; Zhang, DZ; Cai, HH; Zhang, LX; Chong, XM</t>
  </si>
  <si>
    <t xml:space="preserve">Influences of material types on the mechanisms of crystal growth in an aggregate scaling device</t>
  </si>
  <si>
    <t xml:space="preserve">INTERNATIONAL COMMUNICATIONS IN HEAT AND MASS TRANSFER</t>
  </si>
  <si>
    <t xml:space="preserve">10.1016/j.icheatmasstransfer.2019.104303</t>
  </si>
  <si>
    <t xml:space="preserve">Material type effects on crystal growth, aggregate scaling device, oilfield fouling explicit</t>
  </si>
  <si>
    <t xml:space="preserve">W146</t>
  </si>
  <si>
    <t xml:space="preserve">Oshchepkov, M; Kamagurov, S; Tkachenko, S; Ryabova, A; Popov, K</t>
  </si>
  <si>
    <t xml:space="preserve">CHEMNANOMAT</t>
  </si>
  <si>
    <t xml:space="preserve">W147</t>
  </si>
  <si>
    <t xml:space="preserve">HT/HP scaling and dissolution for CCS, carbonate gas field offshore Malaysia, explicit</t>
  </si>
  <si>
    <t xml:space="preserve">W148</t>
  </si>
  <si>
    <t xml:space="preserve">Zhang, P; Zhang, Z; Liu, Y; Kan, AT; Tomson, MB</t>
  </si>
  <si>
    <t xml:space="preserve">W149</t>
  </si>
  <si>
    <t xml:space="preserve">Al-Maabreh, AM; Al-Rawajfeh, AE; Alshamaileh, E; Al-Bazedi, GA</t>
  </si>
  <si>
    <t xml:space="preserve">MITIGATION OF SCALE PROBLEM IN THE PUMPED DISI WATER TO AMMAN, JORDAN</t>
  </si>
  <si>
    <t xml:space="preserve">ENVIRONMENT PROTECTION ENGINEERING</t>
  </si>
  <si>
    <t xml:space="preserve">10.5277/epe190108</t>
  </si>
  <si>
    <t xml:space="preserve">Mitigation of scale problem in pumped drinking water, Amman Jordan - municipal, not oilfield</t>
  </si>
  <si>
    <t xml:space="preserve">W150</t>
  </si>
  <si>
    <t xml:space="preserve">Sojoudi, H; Nemani, SK; Mullin, KM; Wilson, MG; Aladwani, H; Lababidi, H; Gleason, KK</t>
  </si>
  <si>
    <t xml:space="preserve">Micro-/Nanoscale Approach for Studying Scale Formation and Developing Scale-Resistant Surfaces</t>
  </si>
  <si>
    <t xml:space="preserve">10.1021/acsami.8b18523</t>
  </si>
  <si>
    <t xml:space="preserve">Micro/nanoscale scale formation study, desalination/water-harvesting focus, not oilfield</t>
  </si>
  <si>
    <t xml:space="preserve">W151</t>
  </si>
  <si>
    <t xml:space="preserve">Numerical simulation of scale formation, injection-production units, oil reservoirs, explicit</t>
  </si>
  <si>
    <t xml:space="preserve">W152</t>
  </si>
  <si>
    <t xml:space="preserve">Lu, AYT; Shi, W; Wang, JX; Venkatesan, R; Harouaka, K; Paudyal, S; Ko, S; Dai, C; Gao, SJ; Deng, GN; Zhao, Y; Wang, X; Kan, AT; Tomson, M</t>
  </si>
  <si>
    <t xml:space="preserve">JOURNAL OF CHEMICAL AND ENGINEERING DATA</t>
  </si>
  <si>
    <t xml:space="preserve">W153</t>
  </si>
  <si>
    <t xml:space="preserve">Richards, CS; Wang, F; Becker, WC; Edwards, MA</t>
  </si>
  <si>
    <t xml:space="preserve">A 21st-Century Perspective on Calcium Carbonate Formation in Potable Water Systems</t>
  </si>
  <si>
    <t xml:space="preserve">10.1089/ees.2017.0115</t>
  </si>
  <si>
    <t xml:space="preserve">CaCO3 formation in potable water systems - municipal drinking water, not oilfield</t>
  </si>
  <si>
    <t xml:space="preserve">W154</t>
  </si>
  <si>
    <t xml:space="preserve">Review of FeCO3 formation, oil and gas industry, explicit</t>
  </si>
  <si>
    <t xml:space="preserve">W155</t>
  </si>
  <si>
    <t xml:space="preserve">Sorbie, KS; Stamatiou, A</t>
  </si>
  <si>
    <t xml:space="preserve">TRANSPORT IN POROUS MEDIA</t>
  </si>
  <si>
    <t xml:space="preserve">W156</t>
  </si>
  <si>
    <t xml:space="preserve">Kartnaller, V; Venâncio, F; do Rosário, FF; Cajaiba, J</t>
  </si>
  <si>
    <t xml:space="preserve">Application of Multiple Regression and Design of Experiments for Modelling the Effect of Monoethylene Glycol in the Calcium Carbonate Scaling Process</t>
  </si>
  <si>
    <t xml:space="preserve">MOLECULES</t>
  </si>
  <si>
    <t xml:space="preserve">W157</t>
  </si>
  <si>
    <t xml:space="preserve">Tavakoli, HM; Jamialahmadi, M; Kord, S; Daryasafar, A</t>
  </si>
  <si>
    <t xml:space="preserve">W158</t>
  </si>
  <si>
    <t xml:space="preserve">Khormali, A; Sharifov, AR; Torba, DI</t>
  </si>
  <si>
    <t xml:space="preserve">W159</t>
  </si>
  <si>
    <t xml:space="preserve">Inorganic scale thickness prediction, oil pipelines, gamma-ray + ANN, explicit</t>
  </si>
  <si>
    <t xml:space="preserve">W160</t>
  </si>
  <si>
    <t xml:space="preserve">Zhang, Z; Zhang, P; Li, ZJ; Kan, AT; Tomson, MB</t>
  </si>
  <si>
    <t xml:space="preserve">W161</t>
  </si>
  <si>
    <t xml:space="preserve">Hu, YS; Mackay, E; Vazquez, O; Ishkov, O</t>
  </si>
  <si>
    <t xml:space="preserve">Streamline Simulation of Barium Sulfate Precipitation Occurring Within the Reservoir Coupled With Analyses of Observed Produced-Water-Chemistry Data To Aid Scale Management</t>
  </si>
  <si>
    <t xml:space="preserve">10.2118/174235-PA</t>
  </si>
  <si>
    <t xml:space="preserve">W162</t>
  </si>
  <si>
    <t xml:space="preserve">Ingham, B; Holmes-Hewett, W; Ko, M; Kirby, NM; Sk, MH; Abdullah, AM; Laycock, NJ; Williams, DE</t>
  </si>
  <si>
    <t xml:space="preserve">Surface Layer Formation in the Earliest Stages of Corrosion of Steel in CO2-Saturated Brine at 80°C: Studied by In Situ Synchrotron X-ray Methods</t>
  </si>
  <si>
    <t xml:space="preserve">10.1149/2.0101813jes</t>
  </si>
  <si>
    <t xml:space="preserve">Surface-layer corrosion of steel in CO2 brine (synchrotron) - pure corrosion surface science</t>
  </si>
  <si>
    <t xml:space="preserve">W163</t>
  </si>
  <si>
    <t xml:space="preserve">Ghanbari, E; Lillard, RS</t>
  </si>
  <si>
    <t xml:space="preserve">The Influence of CaCO3 Scale Formation on AC Corrosion Rates of Pipeline Steel Under Cathodic Protection</t>
  </si>
  <si>
    <t xml:space="preserve">10.5006/2637</t>
  </si>
  <si>
    <t xml:space="preserve">CaCO3 scale formation effect on AC corrosion, pipeline steel, cathodic protection, explicit</t>
  </si>
  <si>
    <t xml:space="preserve">W164</t>
  </si>
  <si>
    <t xml:space="preserve">De Motte, RA; Barker, R; Burkle, D; Vargas, SM; Neville, A</t>
  </si>
  <si>
    <t xml:space="preserve">MATERIALS CHEMISTRY AND PHYSICS</t>
  </si>
  <si>
    <t xml:space="preserve">W165</t>
  </si>
  <si>
    <t xml:space="preserve">Venancio, F; Rosário, FF; Cajaiba, J</t>
  </si>
  <si>
    <t xml:space="preserve">W166</t>
  </si>
  <si>
    <t xml:space="preserve">Scale formation/corrosivity of drinking water, Amman Jordan - municipal, not oilfield</t>
  </si>
  <si>
    <t xml:space="preserve">W167</t>
  </si>
  <si>
    <t xml:space="preserve">Yan, F; Dai, ZY; Ruan, GD; Alsaiari, H; Bhandari, N; Zhang, FF; Liu, Y; Zhang, Z; Kan, A; Tomson, M</t>
  </si>
  <si>
    <t xml:space="preserve">W168</t>
  </si>
  <si>
    <t xml:space="preserve">Zhang, FF; Hinrichsen, CJ; Kan, AT; Wang, W; Wei, W; Dai, ZY; Yan, F; Liu, Y; Bhandari, N; Zhang, Z; Ruan, GD; Tomson, MB</t>
  </si>
  <si>
    <t xml:space="preserve">Calcium Sulfate Scaling Risk and Inhibition for a Steamflood Project</t>
  </si>
  <si>
    <t xml:space="preserve">10.2118/179875-PA</t>
  </si>
  <si>
    <t xml:space="preserve">W169</t>
  </si>
  <si>
    <t xml:space="preserve">di Celso, GM; Prisciandaro, M; Karatza, D; Lancia, A; Musmarra, D</t>
  </si>
  <si>
    <t xml:space="preserve">W170</t>
  </si>
  <si>
    <t xml:space="preserve">Thermodynamic modeling of saline water (eNRTL), high-salinity produced water oil and gas</t>
  </si>
  <si>
    <t xml:space="preserve">W171</t>
  </si>
  <si>
    <t xml:space="preserve">Keogh, W; Neville, A; Huggan, M; Eroini, V; Olsen, JH; Nielsen, FM; Baraka-Lokmane, S; Bourdelet, E; Ellingsen, JA; Bache, O; Charpentier, T</t>
  </si>
  <si>
    <t xml:space="preserve">W172</t>
  </si>
  <si>
    <t xml:space="preserve">Dogan, Ö; Erdemir, CS; Akyol, E; Kirboga, S; Öner, M</t>
  </si>
  <si>
    <t xml:space="preserve">PURE AND APPLIED CHEMISTRY</t>
  </si>
  <si>
    <t xml:space="preserve">W173</t>
  </si>
  <si>
    <t xml:space="preserve">SR-XRD FeCO3 precipitation kinetics, carbon steel, oil and gas transportation, explicit</t>
  </si>
  <si>
    <t xml:space="preserve">W174</t>
  </si>
  <si>
    <t xml:space="preserve">Carvalho, S; Palermo, L; Boak, L; Sorbie, K; Lucas, EF</t>
  </si>
  <si>
    <t xml:space="preserve">W175</t>
  </si>
  <si>
    <t xml:space="preserve">Verri, G; Sorbie, KS; Singleton, MA; Hinrichsen, C; Wang, Q; Chang, FF; Ramachandran, S</t>
  </si>
  <si>
    <t xml:space="preserve">Iron Sulfide Scale Management in High-H2S and -CO2 Carbonate Reservoirs</t>
  </si>
  <si>
    <t xml:space="preserve">10.2118/179871-PA</t>
  </si>
  <si>
    <t xml:space="preserve">W176</t>
  </si>
  <si>
    <t xml:space="preserve">Patterson, D; Williams, W; Jordan, M; Douglas, R</t>
  </si>
  <si>
    <t xml:space="preserve">Preproduction-Deployed Scale-Inhibition Treatments in Deepwater West Africa</t>
  </si>
  <si>
    <t xml:space="preserve">10.2118/169784-PA</t>
  </si>
  <si>
    <t xml:space="preserve">W177</t>
  </si>
  <si>
    <t xml:space="preserve">Scale build-up prediction of FeS and FeCO3, gas production pipes, explicit</t>
  </si>
  <si>
    <t xml:space="preserve">W178</t>
  </si>
  <si>
    <t xml:space="preserve">Karaman, N; Jamari, J; Bayuseno, AP; Muryanto, S</t>
  </si>
  <si>
    <t xml:space="preserve">Scale Formation of Barium Sulfate in the Piping Flow System: Mineralogy and Morphology Evaluation</t>
  </si>
  <si>
    <t xml:space="preserve">ADVANCED SCIENCE LETTERS</t>
  </si>
  <si>
    <t xml:space="preserve">10.1166/asl.2017.10612</t>
  </si>
  <si>
    <t xml:space="preserve">BaSO4 scale formation in piping flow system, petroleum industry, explicit</t>
  </si>
  <si>
    <t xml:space="preserve">W179</t>
  </si>
  <si>
    <t xml:space="preserve">Tang, W; Lin, YH; Ma, SY; Huang, K; Yao, TJ; Li, F; Chen, SS</t>
  </si>
  <si>
    <t xml:space="preserve">The scaling mechanism of glass fiber reinforced plastics pipeline</t>
  </si>
  <si>
    <t xml:space="preserve">10.1016/j.petrol.2017.09.018</t>
  </si>
  <si>
    <t xml:space="preserve">Scaling mechanism of GFRP pipeline, oilfield environment, explicit</t>
  </si>
  <si>
    <t xml:space="preserve">W180</t>
  </si>
  <si>
    <t xml:space="preserve">Khamis, E; El-Rafey, E; Gaber, AMA; Hefnawy, A; El-Din, NGES; Ahmed, MSEE</t>
  </si>
  <si>
    <t xml:space="preserve">Comparative study between green and red algae in the control of corrosion and deposition of scale in water systems</t>
  </si>
  <si>
    <t xml:space="preserve">10.1080/19443994.2015.1135480</t>
  </si>
  <si>
    <t xml:space="preserve">Green/red algae for corrosion and scale control, oil and gas operations named, explicit</t>
  </si>
  <si>
    <t xml:space="preserve">W181</t>
  </si>
  <si>
    <t xml:space="preserve">Development of an electrochemically integrated SR-GIXRD flow cell to study FeCO3 formation kinetics</t>
  </si>
  <si>
    <t xml:space="preserve">REVIEW OF SCIENTIFIC INSTRUMENTS</t>
  </si>
  <si>
    <t xml:space="preserve">10.1063/1.4965971</t>
  </si>
  <si>
    <t xml:space="preserve">Electrochemical SR-GIXRD study of FeCO3 formation kinetics, oil and gas production, explicit</t>
  </si>
  <si>
    <t xml:space="preserve">W182</t>
  </si>
  <si>
    <t xml:space="preserve">Al Nasser, WN; Shah, VV; Nikiforou, K; Petrou, P; Heng, JYY</t>
  </si>
  <si>
    <t xml:space="preserve">CHEMICAL ENGINEERING RESEARCH &amp; DESIGN</t>
  </si>
  <si>
    <t xml:space="preserve">W183</t>
  </si>
  <si>
    <t xml:space="preserve">Thyne, G; Brady, P</t>
  </si>
  <si>
    <t xml:space="preserve">W184</t>
  </si>
  <si>
    <t xml:space="preserve">Jaho, S; Athanasakou, GD; Sygouni, V; Lioliou, MG; Koutsoukos, PG; Paraskeva, CA</t>
  </si>
  <si>
    <t xml:space="preserve">Experimental Investigation of Calcium Carbonate Precipitation and Crystal Growth in One- and Two-Dimensional Porous Media</t>
  </si>
  <si>
    <t xml:space="preserve">10.1021/acs.cgd.5b01321</t>
  </si>
  <si>
    <t xml:space="preserve">CaCO3 precipitation/crystal growth in porous media - fundamental, no explicit oilfield context</t>
  </si>
  <si>
    <t xml:space="preserve">W185</t>
  </si>
  <si>
    <t xml:space="preserve">Khormali, A; Petrakov, DG; Moein, MJA</t>
  </si>
  <si>
    <t xml:space="preserve">W186</t>
  </si>
  <si>
    <t xml:space="preserve">Zhen-Wu, BY; Dideriksen, K; Olsson, J; Raahauge, PJ; Stipp, SLS; Oelkers, EH</t>
  </si>
  <si>
    <t xml:space="preserve">Experimental determination of barite dissolution and precipitation rates as a function of temperature and aqueous fluid composition</t>
  </si>
  <si>
    <t xml:space="preserve">GEOCHIMICA ET COSMOCHIMICA ACTA</t>
  </si>
  <si>
    <t xml:space="preserve">10.1016/j.gca.2016.08.041</t>
  </si>
  <si>
    <t xml:space="preserve">Barite dissolution/precipitation rate kinetics - fundamental geochemistry, no oilfield framing</t>
  </si>
  <si>
    <t xml:space="preserve">W187</t>
  </si>
  <si>
    <t xml:space="preserve">Fast evaluation of CaCO3 scale inhibitors, jar test high salinity, oil and gas industry explicit</t>
  </si>
  <si>
    <t xml:space="preserve">W188</t>
  </si>
  <si>
    <t xml:space="preserve">Bukuaghangin, O; Sanni, O; Kapur, N; Huggan, M; Neville, A; Charpentier, T</t>
  </si>
  <si>
    <t xml:space="preserve">W189</t>
  </si>
  <si>
    <t xml:space="preserve">Khormali, A; Petrakov, DG</t>
  </si>
  <si>
    <t xml:space="preserve">PETROLEUM SCIENCE</t>
  </si>
  <si>
    <t xml:space="preserve">W190</t>
  </si>
  <si>
    <t xml:space="preserve">Jaho, S; Sygouni, V; Rokidi, SG; Parthenios, J; Koutsoukos, PG; Paraskeva, CA</t>
  </si>
  <si>
    <t xml:space="preserve">W191</t>
  </si>
  <si>
    <t xml:space="preserve">Vazirian, MM; Charpentier, TVJ; Penna, MD; Neville, A</t>
  </si>
  <si>
    <t xml:space="preserve">W192</t>
  </si>
  <si>
    <t xml:space="preserve">Golsefatan, AR; Safari, M; Jamialahmadi, M</t>
  </si>
  <si>
    <t xml:space="preserve">SD001</t>
  </si>
  <si>
    <t xml:space="preserve">Pettauer, M.; Leis, A.; Gotschy, W.; Boch, R.; Hasenhüttl, L.; Dietzel, M.</t>
  </si>
  <si>
    <t xml:space="preserve">In-situ analysis and monitoring of antiscalant polyaspartate by mobile fluorescence spectroscopy</t>
  </si>
  <si>
    <t xml:space="preserve">MethodsX</t>
  </si>
  <si>
    <t xml:space="preserve">10.1016/j.mex.2025.103488</t>
  </si>
  <si>
    <t xml:space="preserve">ScienceDirect (2)</t>
  </si>
  <si>
    <t xml:space="preserve">Real-time antiscalant (PASP) monitoring, inhibitor dosing, pipelines/wells context, explicit</t>
  </si>
  <si>
    <t xml:space="preserve">SD002</t>
  </si>
  <si>
    <t xml:space="preserve">Franco-Aguirre, M.; Zabala, R.D.; Lopera, S.H.; Franco, C.A.; Cortés, F.B.</t>
  </si>
  <si>
    <t xml:space="preserve">Ca-DTPMP nanoparticles-based nanofluids for the inhibition and remediation of formation damage due to CaCO3 scaling in tight gas-condensate reservoirs</t>
  </si>
  <si>
    <t xml:space="preserve">10.1016/j.petrol.2018.06.021</t>
  </si>
  <si>
    <t xml:space="preserve">CaCO3 scale inhibition/remediation, tight gas-condensate reservoirs, explicit oilfield</t>
  </si>
  <si>
    <t xml:space="preserve">SDL001</t>
  </si>
  <si>
    <t xml:space="preserve">Samuel Ibezim Orjiocha; Faith Chinonso Eze; Mansour A. S. Salem; Aadil Shafi Bhat; Rabiya Mehndi; Hillary Onyeka Abugu; Vivian Chinekwu Onwujogu</t>
  </si>
  <si>
    <t xml:space="preserve">Plant-derived extracts for mitigating scale formation in pipelines and industrial systems: a review of status</t>
  </si>
  <si>
    <t xml:space="preserve">Discover Materials</t>
  </si>
  <si>
    <t xml:space="preserve">10.1007/s43939-025-00365-w</t>
  </si>
  <si>
    <t xml:space="preserve">Saudi Digital Library (59)</t>
  </si>
  <si>
    <t xml:space="preserve">Review of plant-derived scale inhibitors, explicit pipeline/industrial scale context</t>
  </si>
  <si>
    <t xml:space="preserve">SDL002</t>
  </si>
  <si>
    <t xml:space="preserve">Shahab Hosseini; Alireza Sadeghein; Ali Madadizadeh; Mohaddeseh Ahmadi Aghdam; Siavash Riahi; Saeid Saviz</t>
  </si>
  <si>
    <t xml:space="preserve">Scale-induced permeability reduction prediction, water flooding kinetics+inhibitor [also indexed via SDL -- cross-database duplicate, already counted via original source]</t>
  </si>
  <si>
    <t xml:space="preserve">SDL003</t>
  </si>
  <si>
    <t xml:space="preserve">Peyman Abbasi; Mohammad Madani; Shokoufah Abbasi</t>
  </si>
  <si>
    <t xml:space="preserve">Water disposal injection, mineral scale formation impact on injectivity, oilfield [also indexed via SDL -- cross-database duplicate, already counted via original source]</t>
  </si>
  <si>
    <t xml:space="preserve">SDL004</t>
  </si>
  <si>
    <t xml:space="preserve">Mohammed Talib Said Al Harrasi; Alireza Kazemi; Reza Yousefzadeh</t>
  </si>
  <si>
    <t xml:space="preserve">Ensemble learning for prediction of inorganic scale formation: A case study in Oman</t>
  </si>
  <si>
    <t xml:space="preserve">Scientific Reports</t>
  </si>
  <si>
    <t xml:space="preserve">10.1038/s41598-025-05003-2</t>
  </si>
  <si>
    <t xml:space="preserve">ML ensemble prediction of inorganic scale formation, real oilfield wells (Oman reservoirs)</t>
  </si>
  <si>
    <t xml:space="preserve">SDL005</t>
  </si>
  <si>
    <t xml:space="preserve">Balasubramanian Senthilmurugan and Jayaprakash Sandhala Radhakrishnan</t>
  </si>
  <si>
    <t xml:space="preserve">10.46488/nept.2024.v23i03.042</t>
  </si>
  <si>
    <t xml:space="preserve">Maleic acid-acrylamide copolymer inhibitor calcite scale, oil field wellbore explicit [also indexed via SDL -- cross-database duplicate, already counted via original source]</t>
  </si>
  <si>
    <t xml:space="preserve">SDL006</t>
  </si>
  <si>
    <t xml:space="preserve">H. Rafiee; K. S. Sorbie; E. J. Mackay</t>
  </si>
  <si>
    <t xml:space="preserve">BaSO4 deposition kinetics model development - matches core kinetics methodology [also indexed via SDL -- cross-database duplicate, already counted via original source]</t>
  </si>
  <si>
    <t xml:space="preserve">SDL007</t>
  </si>
  <si>
    <t xml:space="preserve">Ayman K. El-Sawaf; Mahmoud F. Mubarak; Hanaa Selim; Rasha Hosny</t>
  </si>
  <si>
    <t xml:space="preserve">Copper hydroxide-SBA-15 inhibitors, oilfield carbonate scale control, explicit [also indexed via SDL -- cross-database duplicate, already counted via original source]</t>
  </si>
  <si>
    <t xml:space="preserve">SDL008</t>
  </si>
  <si>
    <t xml:space="preserve">Michael Pettauer; Albrecht Leis; Walter Gotschy; Ronny Boch; Lukas Hasenhüttl; Martin Dietzel</t>
  </si>
  <si>
    <t xml:space="preserve">Real-time antiscalant (PASP) monitoring, inhibitor dosing, pipelines/wells context, explicit [also indexed via SDL -- cross-database duplicate, already counted via original source]</t>
  </si>
  <si>
    <t xml:space="preserve">SDL009</t>
  </si>
  <si>
    <t xml:space="preserve">Haozhe Zhang; Meiyu Dong; Jianjun Ni; Bin Li; Hengbo Mao; Gang Chen; Ying Tang</t>
  </si>
  <si>
    <t xml:space="preserve">Solid particles impact on scaling/inhibition, oilfield water [also indexed via SDL -- cross-database duplicate, already counted via original source]</t>
  </si>
  <si>
    <t xml:space="preserve">SDL010</t>
  </si>
  <si>
    <t xml:space="preserve">M. Al-Samhan; K. Alanezi; J. Al-Fadhli; F. Al-Attar; S. Mukadam; J. George</t>
  </si>
  <si>
    <t xml:space="preserve">Evaluating scale deposition/tendency, effluent water, compatible injection water [also indexed via SDL -- cross-database duplicate, already counted via original source]</t>
  </si>
  <si>
    <t xml:space="preserve">SDL011</t>
  </si>
  <si>
    <t xml:space="preserve">Abdulhadi Abdulmutalib; Hossein Hamidi; Aliakbar Jamshidi Far</t>
  </si>
  <si>
    <t xml:space="preserve">Ultrasound for mineral scale remediation, well production tubing review, explicit [also indexed via SDL -- cross-database duplicate, already counted via original source]</t>
  </si>
  <si>
    <t xml:space="preserve">SDL012</t>
  </si>
  <si>
    <t xml:space="preserve">Michael A. Reynolds</t>
  </si>
  <si>
    <t xml:space="preserve">What crystal engineering can teach us about water treatment</t>
  </si>
  <si>
    <t xml:space="preserve">Structural Dynamics</t>
  </si>
  <si>
    <t xml:space="preserve">10.1063/4.0001086</t>
  </si>
  <si>
    <t xml:space="preserve">Conference abstract on scale/radium co-crystallization in pipelines/water treatment, not clearly oilfield-specific</t>
  </si>
  <si>
    <t xml:space="preserve">SDL013</t>
  </si>
  <si>
    <t xml:space="preserve">Zhang Zhang; Kan Amy T.; Tomson Mason B.; Zhang Ping</t>
  </si>
  <si>
    <t xml:space="preserve">Oil &amp; Gas Science and Technology</t>
  </si>
  <si>
    <t xml:space="preserve">Co-precipitation of CaCO3/BaCO3, oilfield operating conditions, explicit [also indexed via SDL -- cross-database duplicate, already counted via original source]</t>
  </si>
  <si>
    <t xml:space="preserve">SDL014</t>
  </si>
  <si>
    <t xml:space="preserve">Liu Yongliang; Ou Zhidong; Deng Hongda; Zhang Zewei; Zeng Yunfan; Liu Jian</t>
  </si>
  <si>
    <t xml:space="preserve">Deposit formation model, sulfide-containing natural gas, pipeline blockage [also indexed via SDL -- cross-database duplicate, already counted via original source]</t>
  </si>
  <si>
    <t xml:space="preserve">SDL015</t>
  </si>
  <si>
    <t xml:space="preserve">Offshore produced water re-injection, scale-induced injectivity loss, explicit oilfield</t>
  </si>
  <si>
    <t xml:space="preserve">SDL016</t>
  </si>
  <si>
    <t xml:space="preserve">Qi, Chunmin; Xia, Yu; Tang, Shanfa</t>
  </si>
  <si>
    <t xml:space="preserve">The analysis and control of scale accumulation for mixed layer injection of water for the Shuanghe oil area in Yanchang Oilfield</t>
  </si>
  <si>
    <t xml:space="preserve">Scientific reports</t>
  </si>
  <si>
    <t xml:space="preserve">10.1038/s41598-026-47479-6</t>
  </si>
  <si>
    <t xml:space="preserve">Explicit oilfield water-injection scale accumulation and control strategy</t>
  </si>
  <si>
    <t xml:space="preserve">SDL017</t>
  </si>
  <si>
    <t xml:space="preserve">Karimi, Mohammad; Miroliaei, Ali Reza</t>
  </si>
  <si>
    <t xml:space="preserve">Methods of removing deposits in oil and gas pipelines: a review</t>
  </si>
  <si>
    <t xml:space="preserve">Environmental science and pollution research international</t>
  </si>
  <si>
    <t xml:space="preserve">10.1007/s11356-026-37978-4</t>
  </si>
  <si>
    <t xml:space="preserve">Review of deposit removal methods explicitly in oil and gas pipelines</t>
  </si>
  <si>
    <t xml:space="preserve">SDL018</t>
  </si>
  <si>
    <t xml:space="preserve">Minggui Chen; Kangning Xu; Xiaochun Tan; Lei Qiu</t>
  </si>
  <si>
    <t xml:space="preserve">10.2118/225439-pa</t>
  </si>
  <si>
    <t xml:space="preserve">Polymeric Ba/Sr sulfate SI, downhole squeeze, Weizhou oilfield, explicit [also indexed via SDL -- cross-database duplicate, already counted via original source]</t>
  </si>
  <si>
    <t xml:space="preserve">SDL019</t>
  </si>
  <si>
    <t xml:space="preserve">Al-Behadili, Ali M; Mackay, Eric J</t>
  </si>
  <si>
    <t xml:space="preserve">Effects of permeability, grid resolution, and carbonate reactions on CO2 distribution and sulphate scaling in seawater-flooded carbonates</t>
  </si>
  <si>
    <t xml:space="preserve">10.1038/s41598-025-14504-z</t>
  </si>
  <si>
    <t xml:space="preserve">Reservoir simulation of sulphate scaling risk in seawater-flooded carbonate reservoirs</t>
  </si>
  <si>
    <t xml:space="preserve">SDL020</t>
  </si>
  <si>
    <t xml:space="preserve">Ouafa Belkacem; Lokmane Abdelouahed; Kamel Aizi; Maamar Laidi; Abdelhafid Touil; Salah Hanini</t>
  </si>
  <si>
    <t xml:space="preserve">Sustainable Design of Phosphonate Anti-Scale Additives for Oilfield Flow Assurance via 2D-QSAR-KNN and Global Inverse-QSAR Descriptor Profiling</t>
  </si>
  <si>
    <t xml:space="preserve">10.3390/pr14060906</t>
  </si>
  <si>
    <t xml:space="preserve">QSAR-ML design of anti-scale additives explicitly for oilfield flow assurance</t>
  </si>
  <si>
    <t xml:space="preserve">SDL021</t>
  </si>
  <si>
    <t xml:space="preserve">Khormali, Azizollah; Ahmadi, Soroush</t>
  </si>
  <si>
    <t xml:space="preserve">Polymer CaSO4 scale inhibition RSM, oilfield production systems [also indexed via SDL -- cross-database duplicate, already counted via original source]</t>
  </si>
  <si>
    <t xml:space="preserve">SDL022</t>
  </si>
  <si>
    <t xml:space="preserve">Mohammad Parvazdavani; Behjat Kari Payhan; Mahmood Dinmohammad; seyed Ali Mousavi Dehghani</t>
  </si>
  <si>
    <t xml:space="preserve">Static Modeling of Oil Field Mineral Scales: Software Development</t>
  </si>
  <si>
    <t xml:space="preserve">Journal of Petroleum Science and Technology</t>
  </si>
  <si>
    <t xml:space="preserve">10.22078/jpst.2017.750</t>
  </si>
  <si>
    <t xml:space="preserve">Software/model development for oil field mineral scale prediction</t>
  </si>
  <si>
    <t xml:space="preserve">SDL023</t>
  </si>
  <si>
    <t xml:space="preserve">Salgado, César M; Dam, Roos S F; Puertas, Eddie J A; Salgado, William L</t>
  </si>
  <si>
    <t xml:space="preserve">Applied radiation and isotopes</t>
  </si>
  <si>
    <t xml:space="preserve">ANN + MCNP6 for BaSO4 scale thickness/volume fractions, oil industry pipelines [also indexed via SDL -- cross-database duplicate, already counted via original source]</t>
  </si>
  <si>
    <t xml:space="preserve">SDL024</t>
  </si>
  <si>
    <t xml:space="preserve">Ohimor, Evuensiri Onoghwarite, Eriyamremu, Ogheneyoma John and Ononiwu, Prosper Ikechukwu</t>
  </si>
  <si>
    <t xml:space="preserve">Assessment of aqueous extract of Carica papaya leaves for inhibitory effects on calcium carbonate scale formation</t>
  </si>
  <si>
    <t xml:space="preserve">RSPUBLICATION</t>
  </si>
  <si>
    <t xml:space="preserve">10.5281/zenodo.15395822</t>
  </si>
  <si>
    <t xml:space="preserve">Green scale inhibitor evaluated against oilfield calcium carbonate scale</t>
  </si>
  <si>
    <t xml:space="preserve">SDL025</t>
  </si>
  <si>
    <t xml:space="preserve">Paulo Paz; Theodoro Antoun Netto</t>
  </si>
  <si>
    <t xml:space="preserve">10.2118/214701-pa</t>
  </si>
  <si>
    <t xml:space="preserve">Sodium hexametaphosphate CaCO3 scale inhibitor, offshore oil and gas explicit [also indexed via SDL -- cross-database duplicate, already counted via original source]</t>
  </si>
  <si>
    <t xml:space="preserve">SDL026</t>
  </si>
  <si>
    <t xml:space="preserve">Wei Li; Zhaoyi Dai; Xin Wang; Saebom Ko; Samiridhdi Paudyal; Xuanzhu Yao; Cianna Leschied; Yu-Yi Shen; Daniel Pimentel; Amy T. Kan; Mason Tomson</t>
  </si>
  <si>
    <t xml:space="preserve">10.2118/209821-pa</t>
  </si>
  <si>
    <t xml:space="preserve">CO2 corrosion-induced carbonate scale formation/inhibition, mild steel, O&amp;G [also indexed via SDL -- cross-database duplicate, already counted via original source]</t>
  </si>
  <si>
    <t xml:space="preserve">SDL027</t>
  </si>
  <si>
    <t xml:space="preserve">Qiaoping Liu; Lingxin Wang; Jianyi Liu; Liangyuan He</t>
  </si>
  <si>
    <t xml:space="preserve">Scaling mechanism/prevention shale gas wellbore, explicit [also indexed via SDL -- cross-database duplicate, already counted via original source]</t>
  </si>
  <si>
    <t xml:space="preserve">SDL028</t>
  </si>
  <si>
    <t xml:space="preserve">Mostafa Shajari; Fariborz Rashidi</t>
  </si>
  <si>
    <t xml:space="preserve">SPE Reservoir Evaluation &amp; Engineering</t>
  </si>
  <si>
    <t xml:space="preserve">10.2118/202476-pa</t>
  </si>
  <si>
    <t xml:space="preserve">Coupled model for permeability-impairment from mineral scale, water-injection wells [also indexed via SDL -- cross-database duplicate, already counted via original source]</t>
  </si>
  <si>
    <t xml:space="preserve">SDL029</t>
  </si>
  <si>
    <t xml:space="preserve">Myles M. Jordan; Michael Johnston</t>
  </si>
  <si>
    <t xml:space="preserve">Enhanced Carbonate Scale Inhibition in the North Sea via Synergistic Inhibitor Molecule Blends</t>
  </si>
  <si>
    <t xml:space="preserve">Journal of Petroleum Technology</t>
  </si>
  <si>
    <t xml:space="preserve">10.2118/0123-0044-jpt</t>
  </si>
  <si>
    <t xml:space="preserve">North Sea offshore produced-water carbonate scale inhibitor blend study</t>
  </si>
  <si>
    <t xml:space="preserve">SDL030</t>
  </si>
  <si>
    <t xml:space="preserve">Isah Mohammed; Abubakar Isah; Dhafer Al Shehri; Mohamed Mahmoud; Muhammad Arif; Muhammad Shahzad Kamal; Olalekan Saheed Alade; Shirish Patil</t>
  </si>
  <si>
    <t xml:space="preserve">Sulfate-based scales calcite surface chemistry/wettability, oil and gas industry [also indexed via SDL -- cross-database duplicate, already counted via original source]</t>
  </si>
  <si>
    <t xml:space="preserve">SDL031</t>
  </si>
  <si>
    <t xml:space="preserve">Mohamed F. Mady; Safwat Abdel‐Azeim; Malcolm A. Kelland</t>
  </si>
  <si>
    <t xml:space="preserve">Industrial &amp; Engineering Chemistry Research</t>
  </si>
  <si>
    <t xml:space="preserve">Antiscaling evaluation, nitrogen-free organophosphorus, petroleum industry [also indexed via SDL -- cross-database duplicate, already counted via original source]</t>
  </si>
  <si>
    <t xml:space="preserve">SDL032</t>
  </si>
  <si>
    <t xml:space="preserve">Ping Zhang; Zhang Zhang; Jiayao Zhu; Amy T. Kan; Mason B. Tomson</t>
  </si>
  <si>
    <t xml:space="preserve">Energy &amp; Fuels</t>
  </si>
  <si>
    <t xml:space="preserve">Experimental evaluation of sulfate mineral scale coprecipitation kinetics, oilfield [also indexed via SDL -- cross-database duplicate, already counted via original source]</t>
  </si>
  <si>
    <t xml:space="preserve">SDL033</t>
  </si>
  <si>
    <t xml:space="preserve">Ping Zhang; Yuan Liu; Amy T. Kan; Mason B. Tomson</t>
  </si>
  <si>
    <t xml:space="preserve">Laboratory evaluation of synergistic effect of transition metals with mineral scale inhibitor in controlling halite scale deposition</t>
  </si>
  <si>
    <t xml:space="preserve">10.1016/j.petrol.2018.12.036</t>
  </si>
  <si>
    <t xml:space="preserve">Oilfield halite scale inhibitor performance, transition-metal synergy</t>
  </si>
  <si>
    <t xml:space="preserve">SDL034</t>
  </si>
  <si>
    <t xml:space="preserve">Wellbore simulator coupling geochemistry for scale deposition prediction</t>
  </si>
  <si>
    <t xml:space="preserve">SDL035</t>
  </si>
  <si>
    <t xml:space="preserve">Oscar Vazquez; Gill Ross; Myles M. Jordan; Dionysius Angga Baskoro; Eric Mackay; Clare Johnston; Alistair Strachan</t>
  </si>
  <si>
    <t xml:space="preserve">Automatic Optimization of Oilfield-Scale-Inhibitor Squeeze Treatments Delivered by Diving-Support Vessel</t>
  </si>
  <si>
    <t xml:space="preserve">10.2118/184535-pa</t>
  </si>
  <si>
    <t xml:space="preserve">Optimization of oilfield scale-inhibitor squeeze treatment design</t>
  </si>
  <si>
    <t xml:space="preserve">SDL036</t>
  </si>
  <si>
    <t xml:space="preserve">Chuanye Zhou; Xiang Ji; Fengyin Chen; Xiao Ge; Hanbo Zhu; Cong Fu; Anhuai Lu; Changqiu Wang; Yan Li; Hongrui Ding</t>
  </si>
  <si>
    <t xml:space="preserve">Experimental Study on Rock Dissolution and Scale Formation by Strong/Weak Alkali During the Alkali–Surfactant–Polymer Flooding in an Oilfield in China</t>
  </si>
  <si>
    <t xml:space="preserve">10.3390/min15050451</t>
  </si>
  <si>
    <t xml:space="preserve">ASP flooding oilfield scale formation and rock dissolution study</t>
  </si>
  <si>
    <t xml:space="preserve">SDL037</t>
  </si>
  <si>
    <t xml:space="preserve">Waleed Al Nasser; Yasser Al Jeshi</t>
  </si>
  <si>
    <t xml:space="preserve">Inline technique to evaluate SI performance, CaCO3 - generic multi-industry framing [also indexed via SDL -- cross-database duplicate, already counted via original source]</t>
  </si>
  <si>
    <t xml:space="preserve">SDL038</t>
  </si>
  <si>
    <t xml:space="preserve">Azizollah Khormali; Anar R. Sharifov; Dmitry I. Torba</t>
  </si>
  <si>
    <t xml:space="preserve">Increasing efficiency of CaSO4 scale prevention, phosphonate SI mixture, waterflooding [also indexed via SDL -- cross-database duplicate, already counted via original source]</t>
  </si>
  <si>
    <t xml:space="preserve">SDL039</t>
  </si>
  <si>
    <t xml:space="preserve">Nijat Gasimli; Mohamed Mahmoud; Muhammad Shahzad Kamal; Shirish Patil; Hamad A. Alsaiari; Ibnelwaleed A. Hussein</t>
  </si>
  <si>
    <t xml:space="preserve">Iron sulfide scale inhibition, carbonate reservoirs, squeeze treatment oilfield [also indexed via SDL -- cross-database duplicate, already counted via original source]</t>
  </si>
  <si>
    <t xml:space="preserve">SDL040</t>
  </si>
  <si>
    <t xml:space="preserve">Ping Zhang; Zhang Zhang; Yuan Liu; Amy T. Kan; Mason B. Tomson</t>
  </si>
  <si>
    <t xml:space="preserve">Impact of ferrous species on oilfield SI performance, mineral scale control [also indexed via SDL -- cross-database duplicate, already counted via original source]</t>
  </si>
  <si>
    <t xml:space="preserve">SDL041</t>
  </si>
  <si>
    <t xml:space="preserve">M. M. Al Kalbani; M. M. Jordan; E. J. Mackay; K. S. Sorbie; L. Nghiem</t>
  </si>
  <si>
    <t xml:space="preserve">SPE Production &amp; Operations</t>
  </si>
  <si>
    <t xml:space="preserve">10.2118/193575-pa</t>
  </si>
  <si>
    <t xml:space="preserve">BaSO4 scaling control, polymer/surfactant/SP flooding, oilfield production [also indexed via SDL -- cross-database duplicate, already counted via original source]</t>
  </si>
  <si>
    <t xml:space="preserve">SDL042</t>
  </si>
  <si>
    <t xml:space="preserve">Yuan Liu; Zhaoyi Dai; Amy T. Kan; Mason B. Tomson; Ping Zhang</t>
  </si>
  <si>
    <t xml:space="preserve">Sorptive interaction phosphonate inhibitor &amp; barium sulfate, oilfield scale control [also indexed via SDL -- cross-database duplicate, already counted via original source]</t>
  </si>
  <si>
    <t xml:space="preserve">SDL043</t>
  </si>
  <si>
    <t xml:space="preserve">Liang‐Chen Wang; Yao Che; Yan‐Rong Zhu; Shun‐Liang Guo; Wei Ma; Qing‐Li Zhao; Gang Li; Liang‐Bi Wang</t>
  </si>
  <si>
    <t xml:space="preserve">Comparative study of a low phosphorous co‐polymer inhibitor with commercial scale inhibitors used in cooling water systems</t>
  </si>
  <si>
    <t xml:space="preserve">Low-phosphorus copolymer inhibitor cooling water systems - industrial, not oilfield [also indexed via SDL -- cross-database duplicate, already counted via original source]</t>
  </si>
  <si>
    <t xml:space="preserve">SDL044</t>
  </si>
  <si>
    <t xml:space="preserve">Zhang Zhang; Ping Zhang; Zhejun Li; Amy T. Kan; Mason B. Tomson</t>
  </si>
  <si>
    <t xml:space="preserve">Laboratory evaluation, impact of ferric species on oilfield SI performance [also indexed via SDL -- cross-database duplicate, already counted via original source]</t>
  </si>
  <si>
    <t xml:space="preserve">SDL045</t>
  </si>
  <si>
    <t xml:space="preserve">K. Zakaria; A.A. Salem; M. Ramzi</t>
  </si>
  <si>
    <t xml:space="preserve">Cost-effective organophosphorus inhibitors, mineral scaling, Egyptian oil reservoirs [also indexed via SDL -- cross-database duplicate, already counted via original source]</t>
  </si>
  <si>
    <t xml:space="preserve">SDL046</t>
  </si>
  <si>
    <t xml:space="preserve">Nadhem Ismail; Ali S. Alshami; Ibnelwaleed A. Hussein</t>
  </si>
  <si>
    <t xml:space="preserve">Polyacrylamide nano-silica CaCO3 inhibitor, upstream applications, explicit [also indexed via SDL -- cross-database duplicate, already counted via original source]</t>
  </si>
  <si>
    <t xml:space="preserve">SDL047</t>
  </si>
  <si>
    <t xml:space="preserve">Bagrezaie, Mohammad Amin; Dabir, Bahram; Rashidi, Fariborz; Moazzeni, Ali Reza</t>
  </si>
  <si>
    <t xml:space="preserve">Modeling of formation damage during smart water flooding in sandstone reservoirs</t>
  </si>
  <si>
    <t xml:space="preserve">10.1038/s41598-023-44160-0</t>
  </si>
  <si>
    <t xml:space="preserve">Smart-water-flooding formation damage modeling incl. scale prediction in reservoirs</t>
  </si>
  <si>
    <t xml:space="preserve">SDL048</t>
  </si>
  <si>
    <t xml:space="preserve">Vinicius Kartnaller; Fabrício Venâncio; Francisca F. do Rosário; João Cajaiba</t>
  </si>
  <si>
    <t xml:space="preserve">Multiple regression/DOE modelling of MEG effect on CaCO3 scaling, pre-salt wells [also indexed via SDL -- cross-database duplicate, already counted via original source]</t>
  </si>
  <si>
    <t xml:space="preserve">SDL049</t>
  </si>
  <si>
    <t xml:space="preserve">Crystallization of BaSO4 in flowing system, induction time, offshore drilling wells [also indexed via SDL -- cross-database duplicate, already counted via original source]</t>
  </si>
  <si>
    <t xml:space="preserve">SDL050</t>
  </si>
  <si>
    <t xml:space="preserve">Rafael S. Fernandes; Nurielly L.R. Beserra; Miguel A.F. Souza; Djalan F. Lima; Bruno B. Castro; Rosangela C. Balaban</t>
  </si>
  <si>
    <t xml:space="preserve">Copolymer+surfactant preventing scale formation, oil wells, tube blocking pipeline [also indexed via SDL -- cross-database duplicate, already counted via original source]</t>
  </si>
  <si>
    <t xml:space="preserve">SDL051</t>
  </si>
  <si>
    <t xml:space="preserve">Review covers scale inhibition in oil production equipment among target processes</t>
  </si>
  <si>
    <t xml:space="preserve">SDL052</t>
  </si>
  <si>
    <t xml:space="preserve">Abdulmujeeb T. Onawole; Ibnelwaleed A. Hussein; Mohammed A. Saad; Nadhem Ismail; Ali Alshami; Mustafa S. Nasser</t>
  </si>
  <si>
    <t xml:space="preserve">Silica-functionalized acrylamide calcium scale inhibition DFT/AIMD, oilfield [also indexed via SDL -- cross-database duplicate, already counted via original source]</t>
  </si>
  <si>
    <t xml:space="preserve">SDL053</t>
  </si>
  <si>
    <t xml:space="preserve">Sherif A. Younis; Radwa A. El-Salamony; Yiu Fai Tsang; Ki-Hyun Kim</t>
  </si>
  <si>
    <t xml:space="preserve">Biochar sorption of Ba/Sr, protection against scale formation, petroleum industry [also indexed via SDL -- cross-database duplicate, already counted via original source]</t>
  </si>
  <si>
    <t xml:space="preserve">SDL054</t>
  </si>
  <si>
    <t xml:space="preserve">Wanli Kang; Tongyu Wang; Hongwen Zhang; Xiaoyu Hou; Xiangfeng Zhang; Tongyu Zhu; Chao Chen; Hongbin Yang</t>
  </si>
  <si>
    <t xml:space="preserve">Dynamic scale location monitor to predict oilfield blockage, waterflooding [also indexed via SDL -- cross-database duplicate, already counted via original source]</t>
  </si>
  <si>
    <t xml:space="preserve">SDL055</t>
  </si>
  <si>
    <t xml:space="preserve">Chris Carpenter</t>
  </si>
  <si>
    <t xml:space="preserve">Phosphonate-Based Inhibitor Reduces Scaling Potential of Seawater</t>
  </si>
  <si>
    <t xml:space="preserve">10.2118/0619-0072-jpt</t>
  </si>
  <si>
    <t xml:space="preserve">SPE JPT highlight on phosphonate scale inhibitor for seawater-based fracturing fluid</t>
  </si>
  <si>
    <t xml:space="preserve">SDL056</t>
  </si>
  <si>
    <t xml:space="preserve">Egbueri, Johnbosco C</t>
  </si>
  <si>
    <t xml:space="preserve">Incorporation of information entropy theory, artificial neural network, and soft computing models in the development of integrated industrial water quality index</t>
  </si>
  <si>
    <t xml:space="preserve">Environmental monitoring and assessment</t>
  </si>
  <si>
    <t xml:space="preserve">10.1007/s10661-022-10389-x</t>
  </si>
  <si>
    <t xml:space="preserve">General industrial/municipal water-quality index, not oilfield pipeline scale-specific</t>
  </si>
  <si>
    <t xml:space="preserve">SDL057</t>
  </si>
  <si>
    <t xml:space="preserve">Ali Shabani; Hossein Sisakhti; Sobhan Sheikhi; Farzad Barzegar</t>
  </si>
  <si>
    <t xml:space="preserve">Reactive transport modeling, scale formation/deposition, water injection wells [also indexed via SDL -- cross-database duplicate, already counted via original source]</t>
  </si>
  <si>
    <t xml:space="preserve">SDL058</t>
  </si>
  <si>
    <t xml:space="preserve">Hany Gamal; Salaheldin Elkatatny; Dhafer Al Shehri; Mohamed Bahgat</t>
  </si>
  <si>
    <t xml:space="preserve">A Novel Low-Temperature Non-Corrosive Sulfate/Sulfide Scale Dissolver</t>
  </si>
  <si>
    <t xml:space="preserve">Sustainability</t>
  </si>
  <si>
    <t xml:space="preserve">10.3390/su12062455</t>
  </si>
  <si>
    <t xml:space="preserve">Scale dissolver developed and tested on production-platform scale samples</t>
  </si>
  <si>
    <t xml:space="preserve">SDL059</t>
  </si>
  <si>
    <t xml:space="preserve">Zhao, Rui; Li, Min; Ma, Sude; Yang, Tianxue; Jing, Lingyun</t>
  </si>
  <si>
    <t xml:space="preserve">Material selection for landfill leachate piping by using a grey target decision-making approach</t>
  </si>
  <si>
    <t xml:space="preserve">10.1007/s11356-020-10385-z</t>
  </si>
  <si>
    <t xml:space="preserve">Landfill leachate piping material selection, unrelated to oilfield mineral scale</t>
  </si>
  <si>
    <t xml:space="preserve">Pilot Classification Metrics</t>
  </si>
  <si>
    <t xml:space="preserve">Auto-calculated from the 'RMI Classification' tab — do not edit these cells directly.</t>
  </si>
  <si>
    <t xml:space="preserve">Total Tagged</t>
  </si>
  <si>
    <t xml:space="preserve">Direct Relevance % (R/Total)</t>
  </si>
  <si>
    <t xml:space="preserve">Coverage % ((R+M)/Total)</t>
  </si>
  <si>
    <t xml:space="preserve">B2 (570)</t>
  </si>
  <si>
    <t xml:space="preserve">OVERALL (all tagged records)</t>
  </si>
  <si>
    <t xml:space="preserve">Decision guide: direct relevance below ~30–40% usually means the query is too broad. Scopus, WoS and ScienceDirect are all high-relevance primary/supplementary sources; IEEE is a low-relevance supplementary source (expected, narrow domain fit). ScienceDirect's small N reflects its Elsevier-only coverage, not a search-quality problem.</t>
  </si>
  <si>
    <t xml:space="preserve">PRISMA 2020 TRACKING</t>
  </si>
  <si>
    <t xml:space="preserve">IDENTIFICATION</t>
  </si>
  <si>
    <t xml:space="preserve">Records identified — Scopus (frozen query)</t>
  </si>
  <si>
    <t xml:space="preserve">Records identified — Web of Science</t>
  </si>
  <si>
    <t xml:space="preserve">Records identified — IEEE Xplore (4 sub-searches, deduped)</t>
  </si>
  <si>
    <t xml:space="preserve">Records identified — ScienceDirect (2 sub-searches, deduped)</t>
  </si>
  <si>
    <t xml:space="preserve">Records identified — Saudi Digital Library (SDL) (59 results, 38 already in corpus)</t>
  </si>
  <si>
    <t xml:space="preserve">Total raw records identified (all databases)</t>
  </si>
  <si>
    <t xml:space="preserve">Duplicates removed</t>
  </si>
  <si>
    <t xml:space="preserve">SCREENING (title/abstract)</t>
  </si>
  <si>
    <t xml:space="preserve">Records screened (= Master Corpus)</t>
  </si>
  <si>
    <t xml:space="preserve">Records excluded at title/abstract stage</t>
  </si>
  <si>
    <t xml:space="preserve">  — Non-substantive record (book TOC/chapter/index)</t>
  </si>
  <si>
    <t xml:space="preserve">  — Outside domain (unrelated field)</t>
  </si>
  <si>
    <t xml:space="preserve">  — Pure corrosion study (no scale-formation component)</t>
  </si>
  <si>
    <t xml:space="preserve">  — Different phenomenon (not flow-assurance mineral scale)</t>
  </si>
  <si>
    <t xml:space="preserve">  — Unrelated industry (non-oilfield application)</t>
  </si>
  <si>
    <t xml:space="preserve">  — Retracted publication</t>
  </si>
  <si>
    <t xml:space="preserve">ELIGIBILITY (full-text)</t>
  </si>
  <si>
    <t xml:space="preserve">Reports sought for retrieval (R+M proceeding)</t>
  </si>
  <si>
    <t xml:space="preserve">Reports not retrieved</t>
  </si>
  <si>
    <t xml:space="preserve">Full-text reports assessed for eligibility</t>
  </si>
  <si>
    <t xml:space="preserve">Full-text reports excluded, with reasons</t>
  </si>
  <si>
    <t xml:space="preserve">INCLUDED</t>
  </si>
  <si>
    <t xml:space="preserve">Studies included in the final systematic review</t>
  </si>
  <si>
    <t xml:space="preserve">Master Corpus — Prioritized Full-Text Reading Queue</t>
  </si>
  <si>
    <t xml:space="preserve">439 records, sorted into your reading queue: Tier 1 (M-tagged, resolve first) → Tier 2 (R-tagged, confirm eligibility) → Tier 3 (Excluded, no action needed), each tier ranked by Citation Velocity (citations ÷ years since publication — balances influence against recency). Columns N–P are blank for your full-text screening — blue text = your input cells.</t>
  </si>
  <si>
    <t xml:space="preserve">Priority Rank</t>
  </si>
  <si>
    <t xml:space="preserve">Reading Tier</t>
  </si>
  <si>
    <t xml:space="preserve">Source DB(s)</t>
  </si>
  <si>
    <t xml:space="preserve">Pilot Tag</t>
  </si>
  <si>
    <t xml:space="preserve">Citation Velocity</t>
  </si>
  <si>
    <t xml:space="preserve">Screening Decision</t>
  </si>
  <si>
    <t xml:space="preserve">Exclusion Category</t>
  </si>
  <si>
    <t xml:space="preserve">Full-text Retrieved? (Y/N)</t>
  </si>
  <si>
    <t xml:space="preserve">Full-text Decision (Include/Exclude)</t>
  </si>
  <si>
    <t xml:space="preserve">Full-text Exclusion Reason</t>
  </si>
  <si>
    <t xml:space="preserve">1 - Maybe (resolve first)</t>
  </si>
  <si>
    <t xml:space="preserve">M0173</t>
  </si>
  <si>
    <t xml:space="preserve">WoS</t>
  </si>
  <si>
    <t xml:space="preserve">Included — proceed to full-text</t>
  </si>
  <si>
    <t xml:space="preserve">M0153</t>
  </si>
  <si>
    <t xml:space="preserve">Scopus;WoS</t>
  </si>
  <si>
    <t xml:space="preserve">M0420</t>
  </si>
  <si>
    <t xml:space="preserve">M0324</t>
  </si>
  <si>
    <t xml:space="preserve">M0245</t>
  </si>
  <si>
    <t xml:space="preserve">M0106</t>
  </si>
  <si>
    <t xml:space="preserve">M0301</t>
  </si>
  <si>
    <t xml:space="preserve">M0239</t>
  </si>
  <si>
    <t xml:space="preserve">M0089</t>
  </si>
  <si>
    <t xml:space="preserve">M0088</t>
  </si>
  <si>
    <t xml:space="preserve">M0330</t>
  </si>
  <si>
    <t xml:space="preserve">M0217</t>
  </si>
  <si>
    <t xml:space="preserve">M0139</t>
  </si>
  <si>
    <t xml:space="preserve">M0418</t>
  </si>
  <si>
    <t xml:space="preserve">M0317</t>
  </si>
  <si>
    <t xml:space="preserve">M0087</t>
  </si>
  <si>
    <t xml:space="preserve">M0105</t>
  </si>
  <si>
    <t xml:space="preserve">M0116</t>
  </si>
  <si>
    <t xml:space="preserve">M0256</t>
  </si>
  <si>
    <t xml:space="preserve">M0215</t>
  </si>
  <si>
    <t xml:space="preserve">M0054</t>
  </si>
  <si>
    <t xml:space="preserve">M0064</t>
  </si>
  <si>
    <t xml:space="preserve">M0141</t>
  </si>
  <si>
    <t xml:space="preserve">M0244</t>
  </si>
  <si>
    <t xml:space="preserve">M0008</t>
  </si>
  <si>
    <t xml:space="preserve">IEEE</t>
  </si>
  <si>
    <t xml:space="preserve">M0162</t>
  </si>
  <si>
    <t xml:space="preserve">M0276</t>
  </si>
  <si>
    <t xml:space="preserve">M0377</t>
  </si>
  <si>
    <t xml:space="preserve">M0380</t>
  </si>
  <si>
    <t xml:space="preserve">M0076</t>
  </si>
  <si>
    <t xml:space="preserve">M0225</t>
  </si>
  <si>
    <t xml:space="preserve">M0328</t>
  </si>
  <si>
    <t xml:space="preserve">M0435</t>
  </si>
  <si>
    <t xml:space="preserve">M0129</t>
  </si>
  <si>
    <t xml:space="preserve">M0226</t>
  </si>
  <si>
    <t xml:space="preserve">M0427</t>
  </si>
  <si>
    <t xml:space="preserve">M0216</t>
  </si>
  <si>
    <t xml:space="preserve">M0401</t>
  </si>
  <si>
    <t xml:space="preserve">M0010</t>
  </si>
  <si>
    <t xml:space="preserve">M0019</t>
  </si>
  <si>
    <t xml:space="preserve">M0020</t>
  </si>
  <si>
    <t xml:space="preserve">M0036</t>
  </si>
  <si>
    <t xml:space="preserve">M0038</t>
  </si>
  <si>
    <t xml:space="preserve">M0068</t>
  </si>
  <si>
    <t xml:space="preserve">M0177</t>
  </si>
  <si>
    <t xml:space="preserve">M0197</t>
  </si>
  <si>
    <t xml:space="preserve">M0224</t>
  </si>
  <si>
    <t xml:space="preserve">M0231</t>
  </si>
  <si>
    <t xml:space="preserve">M0242</t>
  </si>
  <si>
    <t xml:space="preserve">M0263</t>
  </si>
  <si>
    <t xml:space="preserve">M0387</t>
  </si>
  <si>
    <t xml:space="preserve">M0442</t>
  </si>
  <si>
    <t xml:space="preserve">SDL</t>
  </si>
  <si>
    <t xml:space="preserve">2 - Relevant (confirm eligibility)</t>
  </si>
  <si>
    <t xml:space="preserve">M0348</t>
  </si>
  <si>
    <t xml:space="preserve">M0046</t>
  </si>
  <si>
    <t xml:space="preserve">M0096</t>
  </si>
  <si>
    <t xml:space="preserve">M0395</t>
  </si>
  <si>
    <t xml:space="preserve">M0437</t>
  </si>
  <si>
    <t xml:space="preserve">M0369</t>
  </si>
  <si>
    <t xml:space="preserve">M0021</t>
  </si>
  <si>
    <t xml:space="preserve">M0270</t>
  </si>
  <si>
    <t xml:space="preserve">M0110</t>
  </si>
  <si>
    <t xml:space="preserve">M0169</t>
  </si>
  <si>
    <t xml:space="preserve">M0178</t>
  </si>
  <si>
    <t xml:space="preserve">M0297</t>
  </si>
  <si>
    <t xml:space="preserve">M0356</t>
  </si>
  <si>
    <t xml:space="preserve">M0151</t>
  </si>
  <si>
    <t xml:space="preserve">M0292</t>
  </si>
  <si>
    <t xml:space="preserve">M0165</t>
  </si>
  <si>
    <t xml:space="preserve">M0311</t>
  </si>
  <si>
    <t xml:space="preserve">M0391</t>
  </si>
  <si>
    <t xml:space="preserve">M0232</t>
  </si>
  <si>
    <t xml:space="preserve">M0123</t>
  </si>
  <si>
    <t xml:space="preserve">M0361</t>
  </si>
  <si>
    <t xml:space="preserve">M0417</t>
  </si>
  <si>
    <t xml:space="preserve">M0419</t>
  </si>
  <si>
    <t xml:space="preserve">M0176</t>
  </si>
  <si>
    <t xml:space="preserve">M0234</t>
  </si>
  <si>
    <t xml:space="preserve">M0034</t>
  </si>
  <si>
    <t xml:space="preserve">M0058</t>
  </si>
  <si>
    <t xml:space="preserve">M0108</t>
  </si>
  <si>
    <t xml:space="preserve">M0223</t>
  </si>
  <si>
    <t xml:space="preserve">M0241</t>
  </si>
  <si>
    <t xml:space="preserve">M0166</t>
  </si>
  <si>
    <t xml:space="preserve">M0214</t>
  </si>
  <si>
    <t xml:space="preserve">M0001</t>
  </si>
  <si>
    <t xml:space="preserve">M0092</t>
  </si>
  <si>
    <t xml:space="preserve">M0443</t>
  </si>
  <si>
    <t xml:space="preserve">M0134</t>
  </si>
  <si>
    <t xml:space="preserve">M0327</t>
  </si>
  <si>
    <t xml:space="preserve">M0456</t>
  </si>
  <si>
    <t xml:space="preserve">M0128</t>
  </si>
  <si>
    <t xml:space="preserve">M0425</t>
  </si>
  <si>
    <t xml:space="preserve">M0147</t>
  </si>
  <si>
    <t xml:space="preserve">M0080</t>
  </si>
  <si>
    <t xml:space="preserve">M0152</t>
  </si>
  <si>
    <t xml:space="preserve">M0187</t>
  </si>
  <si>
    <t xml:space="preserve">M0384</t>
  </si>
  <si>
    <t xml:space="preserve">M0421</t>
  </si>
  <si>
    <t xml:space="preserve">M0172</t>
  </si>
  <si>
    <t xml:space="preserve">M0303</t>
  </si>
  <si>
    <t xml:space="preserve">M0426</t>
  </si>
  <si>
    <t xml:space="preserve">M0101</t>
  </si>
  <si>
    <t xml:space="preserve">M0066</t>
  </si>
  <si>
    <t xml:space="preserve">M0071</t>
  </si>
  <si>
    <t xml:space="preserve">M0145</t>
  </si>
  <si>
    <t xml:space="preserve">M0253</t>
  </si>
  <si>
    <t xml:space="preserve">M0262</t>
  </si>
  <si>
    <t xml:space="preserve">M0379</t>
  </si>
  <si>
    <t xml:space="preserve">M0340</t>
  </si>
  <si>
    <t xml:space="preserve">M0392</t>
  </si>
  <si>
    <t xml:space="preserve">M0273</t>
  </si>
  <si>
    <t xml:space="preserve">M0360</t>
  </si>
  <si>
    <t xml:space="preserve">M0416</t>
  </si>
  <si>
    <t xml:space="preserve">M0025</t>
  </si>
  <si>
    <t xml:space="preserve">M0043</t>
  </si>
  <si>
    <t xml:space="preserve">M0047</t>
  </si>
  <si>
    <t xml:space="preserve">M0288</t>
  </si>
  <si>
    <t xml:space="preserve">M0261</t>
  </si>
  <si>
    <t xml:space="preserve">M0293</t>
  </si>
  <si>
    <t xml:space="preserve">M0243</t>
  </si>
  <si>
    <t xml:space="preserve">M0195</t>
  </si>
  <si>
    <t xml:space="preserve">M0307</t>
  </si>
  <si>
    <t xml:space="preserve">M0252</t>
  </si>
  <si>
    <t xml:space="preserve">M0278</t>
  </si>
  <si>
    <t xml:space="preserve">M0121</t>
  </si>
  <si>
    <t xml:space="preserve">M0313</t>
  </si>
  <si>
    <t xml:space="preserve">M0201</t>
  </si>
  <si>
    <t xml:space="preserve">M0202</t>
  </si>
  <si>
    <t xml:space="preserve">M0206</t>
  </si>
  <si>
    <t xml:space="preserve">M0271</t>
  </si>
  <si>
    <t xml:space="preserve">M0354</t>
  </si>
  <si>
    <t xml:space="preserve">M0431</t>
  </si>
  <si>
    <t xml:space="preserve">M0236</t>
  </si>
  <si>
    <t xml:space="preserve">M0238</t>
  </si>
  <si>
    <t xml:space="preserve">M0376</t>
  </si>
  <si>
    <t xml:space="preserve">M0365</t>
  </si>
  <si>
    <t xml:space="preserve">M0452</t>
  </si>
  <si>
    <t xml:space="preserve">M0159</t>
  </si>
  <si>
    <t xml:space="preserve">M0316</t>
  </si>
  <si>
    <t xml:space="preserve">M0207</t>
  </si>
  <si>
    <t xml:space="preserve">M0219</t>
  </si>
  <si>
    <t xml:space="preserve">M0283</t>
  </si>
  <si>
    <t xml:space="preserve">M0326</t>
  </si>
  <si>
    <t xml:space="preserve">M0394</t>
  </si>
  <si>
    <t xml:space="preserve">M0037</t>
  </si>
  <si>
    <t xml:space="preserve">M0044</t>
  </si>
  <si>
    <t xml:space="preserve">M0050</t>
  </si>
  <si>
    <t xml:space="preserve">M0078</t>
  </si>
  <si>
    <t xml:space="preserve">M0150</t>
  </si>
  <si>
    <t xml:space="preserve">M0220</t>
  </si>
  <si>
    <t xml:space="preserve">M0274</t>
  </si>
  <si>
    <t xml:space="preserve">M0300</t>
  </si>
  <si>
    <t xml:space="preserve">M0368</t>
  </si>
  <si>
    <t xml:space="preserve">M0257</t>
  </si>
  <si>
    <t xml:space="preserve">M0280</t>
  </si>
  <si>
    <t xml:space="preserve">M0222</t>
  </si>
  <si>
    <t xml:space="preserve">M0191</t>
  </si>
  <si>
    <t xml:space="preserve">M0382</t>
  </si>
  <si>
    <t xml:space="preserve">M0138</t>
  </si>
  <si>
    <t xml:space="preserve">M0451</t>
  </si>
  <si>
    <t xml:space="preserve">M0413</t>
  </si>
  <si>
    <t xml:space="preserve">M0433</t>
  </si>
  <si>
    <t xml:space="preserve">M0285</t>
  </si>
  <si>
    <t xml:space="preserve">M0081</t>
  </si>
  <si>
    <t xml:space="preserve">M0117</t>
  </si>
  <si>
    <t xml:space="preserve">M0120</t>
  </si>
  <si>
    <t xml:space="preserve">M0211</t>
  </si>
  <si>
    <t xml:space="preserve">M0357</t>
  </si>
  <si>
    <t xml:space="preserve">M0415</t>
  </si>
  <si>
    <t xml:space="preserve">M0175</t>
  </si>
  <si>
    <t xml:space="preserve">M0188</t>
  </si>
  <si>
    <t xml:space="preserve">M0194</t>
  </si>
  <si>
    <t xml:space="preserve">M0260</t>
  </si>
  <si>
    <t xml:space="preserve">M0459</t>
  </si>
  <si>
    <t xml:space="preserve">M0412</t>
  </si>
  <si>
    <t xml:space="preserve">M0045</t>
  </si>
  <si>
    <t xml:space="preserve">M0048</t>
  </si>
  <si>
    <t xml:space="preserve">M0079</t>
  </si>
  <si>
    <t xml:space="preserve">M0137</t>
  </si>
  <si>
    <t xml:space="preserve">M0212</t>
  </si>
  <si>
    <t xml:space="preserve">M0228</t>
  </si>
  <si>
    <t xml:space="preserve">M0267</t>
  </si>
  <si>
    <t xml:space="preserve">M0287</t>
  </si>
  <si>
    <t xml:space="preserve">M0385</t>
  </si>
  <si>
    <t xml:space="preserve">M0309</t>
  </si>
  <si>
    <t xml:space="preserve">M0314</t>
  </si>
  <si>
    <t xml:space="preserve">M0414</t>
  </si>
  <si>
    <t xml:space="preserve">M0422</t>
  </si>
  <si>
    <t xml:space="preserve">M0094</t>
  </si>
  <si>
    <t xml:space="preserve">M0102</t>
  </si>
  <si>
    <t xml:space="preserve">M0103</t>
  </si>
  <si>
    <t xml:space="preserve">M0119</t>
  </si>
  <si>
    <t xml:space="preserve">M0125</t>
  </si>
  <si>
    <t xml:space="preserve">M0126</t>
  </si>
  <si>
    <t xml:space="preserve">M0210</t>
  </si>
  <si>
    <t xml:space="preserve">M0246</t>
  </si>
  <si>
    <t xml:space="preserve">M0364</t>
  </si>
  <si>
    <t xml:space="preserve">M0265</t>
  </si>
  <si>
    <t xml:space="preserve">M0135</t>
  </si>
  <si>
    <t xml:space="preserve">M0160</t>
  </si>
  <si>
    <t xml:space="preserve">M0359</t>
  </si>
  <si>
    <t xml:space="preserve">M0453</t>
  </si>
  <si>
    <t xml:space="preserve">M0171</t>
  </si>
  <si>
    <t xml:space="preserve">M0180</t>
  </si>
  <si>
    <t xml:space="preserve">M0322</t>
  </si>
  <si>
    <t xml:space="preserve">M0349</t>
  </si>
  <si>
    <t xml:space="preserve">M0353</t>
  </si>
  <si>
    <t xml:space="preserve">M0371</t>
  </si>
  <si>
    <t xml:space="preserve">M0381</t>
  </si>
  <si>
    <t xml:space="preserve">M0390</t>
  </si>
  <si>
    <t xml:space="preserve">M0410</t>
  </si>
  <si>
    <t xml:space="preserve">M0005</t>
  </si>
  <si>
    <t xml:space="preserve">M0024</t>
  </si>
  <si>
    <t xml:space="preserve">M0026</t>
  </si>
  <si>
    <t xml:space="preserve">M0029</t>
  </si>
  <si>
    <t xml:space="preserve">M0031</t>
  </si>
  <si>
    <t xml:space="preserve">M0033</t>
  </si>
  <si>
    <t xml:space="preserve">M0052</t>
  </si>
  <si>
    <t xml:space="preserve">M0059</t>
  </si>
  <si>
    <t xml:space="preserve">M0093</t>
  </si>
  <si>
    <t xml:space="preserve">M0095</t>
  </si>
  <si>
    <t xml:space="preserve">M0098</t>
  </si>
  <si>
    <t xml:space="preserve">M0109</t>
  </si>
  <si>
    <t xml:space="preserve">M0131</t>
  </si>
  <si>
    <t xml:space="preserve">M0181</t>
  </si>
  <si>
    <t xml:space="preserve">M0193</t>
  </si>
  <si>
    <t xml:space="preserve">M0203</t>
  </si>
  <si>
    <t xml:space="preserve">M0204</t>
  </si>
  <si>
    <t xml:space="preserve">M0218</t>
  </si>
  <si>
    <t xml:space="preserve">M0249</t>
  </si>
  <si>
    <t xml:space="preserve">M0266</t>
  </si>
  <si>
    <t xml:space="preserve">M0295</t>
  </si>
  <si>
    <t xml:space="preserve">M0350</t>
  </si>
  <si>
    <t xml:space="preserve">M0363</t>
  </si>
  <si>
    <t xml:space="preserve">M0388</t>
  </si>
  <si>
    <t xml:space="preserve">M0389</t>
  </si>
  <si>
    <t xml:space="preserve">M0424</t>
  </si>
  <si>
    <t xml:space="preserve">M0432</t>
  </si>
  <si>
    <t xml:space="preserve">M0454</t>
  </si>
  <si>
    <t xml:space="preserve">M0411</t>
  </si>
  <si>
    <t xml:space="preserve">M0302</t>
  </si>
  <si>
    <t xml:space="preserve">M0308</t>
  </si>
  <si>
    <t xml:space="preserve">M0310</t>
  </si>
  <si>
    <t xml:space="preserve">M0290</t>
  </si>
  <si>
    <t xml:space="preserve">M0436</t>
  </si>
  <si>
    <t xml:space="preserve">M0439</t>
  </si>
  <si>
    <t xml:space="preserve">M0185</t>
  </si>
  <si>
    <t xml:space="preserve">M0205</t>
  </si>
  <si>
    <t xml:space="preserve">M0132</t>
  </si>
  <si>
    <t xml:space="preserve">M0133</t>
  </si>
  <si>
    <t xml:space="preserve">M0155</t>
  </si>
  <si>
    <t xml:space="preserve">M0158</t>
  </si>
  <si>
    <t xml:space="preserve">M0161</t>
  </si>
  <si>
    <t xml:space="preserve">M0304</t>
  </si>
  <si>
    <t xml:space="preserve">M0315</t>
  </si>
  <si>
    <t xml:space="preserve">M0325</t>
  </si>
  <si>
    <t xml:space="preserve">M0450</t>
  </si>
  <si>
    <t xml:space="preserve">M0455</t>
  </si>
  <si>
    <t xml:space="preserve">M0269</t>
  </si>
  <si>
    <t xml:space="preserve">M0405</t>
  </si>
  <si>
    <t xml:space="preserve">M0084</t>
  </si>
  <si>
    <t xml:space="preserve">M0090</t>
  </si>
  <si>
    <t xml:space="preserve">M0247</t>
  </si>
  <si>
    <t xml:space="preserve">M0352</t>
  </si>
  <si>
    <t xml:space="preserve">M0170</t>
  </si>
  <si>
    <t xml:space="preserve">M0393</t>
  </si>
  <si>
    <t xml:space="preserve">M0407</t>
  </si>
  <si>
    <t xml:space="preserve">M0264</t>
  </si>
  <si>
    <t xml:space="preserve">M0294</t>
  </si>
  <si>
    <t xml:space="preserve">M0347</t>
  </si>
  <si>
    <t xml:space="preserve">M0362</t>
  </si>
  <si>
    <t xml:space="preserve">M0041</t>
  </si>
  <si>
    <t xml:space="preserve">M0062</t>
  </si>
  <si>
    <t xml:space="preserve">M0065</t>
  </si>
  <si>
    <t xml:space="preserve">M0067</t>
  </si>
  <si>
    <t xml:space="preserve">M0070</t>
  </si>
  <si>
    <t xml:space="preserve">M0073</t>
  </si>
  <si>
    <t xml:space="preserve">M0074</t>
  </si>
  <si>
    <t xml:space="preserve">M0075</t>
  </si>
  <si>
    <t xml:space="preserve">M0140</t>
  </si>
  <si>
    <t xml:space="preserve">M0143</t>
  </si>
  <si>
    <t xml:space="preserve">M0144</t>
  </si>
  <si>
    <t xml:space="preserve">M0149</t>
  </si>
  <si>
    <t xml:space="preserve">M0156</t>
  </si>
  <si>
    <t xml:space="preserve">M0208</t>
  </si>
  <si>
    <t xml:space="preserve">M0230</t>
  </si>
  <si>
    <t xml:space="preserve">M0235</t>
  </si>
  <si>
    <t xml:space="preserve">M0237</t>
  </si>
  <si>
    <t xml:space="preserve">M0240</t>
  </si>
  <si>
    <t xml:space="preserve">M0333</t>
  </si>
  <si>
    <t xml:space="preserve">M0335</t>
  </si>
  <si>
    <t xml:space="preserve">M0396</t>
  </si>
  <si>
    <t xml:space="preserve">M0406</t>
  </si>
  <si>
    <t xml:space="preserve">M0408</t>
  </si>
  <si>
    <t xml:space="preserve">M0440</t>
  </si>
  <si>
    <t xml:space="preserve">M0441</t>
  </si>
  <si>
    <t xml:space="preserve">M0428</t>
  </si>
  <si>
    <t xml:space="preserve">M0429</t>
  </si>
  <si>
    <t xml:space="preserve">M0275</t>
  </si>
  <si>
    <t xml:space="preserve">M0279</t>
  </si>
  <si>
    <t xml:space="preserve">M0164</t>
  </si>
  <si>
    <t xml:space="preserve">M0168</t>
  </si>
  <si>
    <t xml:space="preserve">M0174</t>
  </si>
  <si>
    <t xml:space="preserve">M0186</t>
  </si>
  <si>
    <t xml:space="preserve">M0312</t>
  </si>
  <si>
    <t xml:space="preserve">M0319</t>
  </si>
  <si>
    <t xml:space="preserve">M0342</t>
  </si>
  <si>
    <t xml:space="preserve">M0091</t>
  </si>
  <si>
    <t xml:space="preserve">M0097</t>
  </si>
  <si>
    <t xml:space="preserve">M0104</t>
  </si>
  <si>
    <t xml:space="preserve">M0114</t>
  </si>
  <si>
    <t xml:space="preserve">M0115</t>
  </si>
  <si>
    <t xml:space="preserve">M0118</t>
  </si>
  <si>
    <t xml:space="preserve">M0213</t>
  </si>
  <si>
    <t xml:space="preserve">M0229</t>
  </si>
  <si>
    <t xml:space="preserve">M0248</t>
  </si>
  <si>
    <t xml:space="preserve">M0358</t>
  </si>
  <si>
    <t xml:space="preserve">M0366</t>
  </si>
  <si>
    <t xml:space="preserve">M0383</t>
  </si>
  <si>
    <t xml:space="preserve">M0402</t>
  </si>
  <si>
    <t xml:space="preserve">M0409</t>
  </si>
  <si>
    <t xml:space="preserve">M0448</t>
  </si>
  <si>
    <t xml:space="preserve">M0255</t>
  </si>
  <si>
    <t xml:space="preserve">M0258</t>
  </si>
  <si>
    <t xml:space="preserve">M0259</t>
  </si>
  <si>
    <t xml:space="preserve">M0289</t>
  </si>
  <si>
    <t xml:space="preserve">M0154</t>
  </si>
  <si>
    <t xml:space="preserve">M0318</t>
  </si>
  <si>
    <t xml:space="preserve">M0320</t>
  </si>
  <si>
    <t xml:space="preserve">M0321</t>
  </si>
  <si>
    <t xml:space="preserve">M0338</t>
  </si>
  <si>
    <t xml:space="preserve">M0341</t>
  </si>
  <si>
    <t xml:space="preserve">M0346</t>
  </si>
  <si>
    <t xml:space="preserve">M0370</t>
  </si>
  <si>
    <t xml:space="preserve">M0163</t>
  </si>
  <si>
    <t xml:space="preserve">M0183</t>
  </si>
  <si>
    <t xml:space="preserve">M0190</t>
  </si>
  <si>
    <t xml:space="preserve">M0192</t>
  </si>
  <si>
    <t xml:space="preserve">M0196</t>
  </si>
  <si>
    <t xml:space="preserve">M0198</t>
  </si>
  <si>
    <t xml:space="preserve">M0199</t>
  </si>
  <si>
    <t xml:space="preserve">M0200</t>
  </si>
  <si>
    <t xml:space="preserve">M0399</t>
  </si>
  <si>
    <t xml:space="preserve">M0404</t>
  </si>
  <si>
    <t xml:space="preserve">M0209</t>
  </si>
  <si>
    <t xml:space="preserve">M0251</t>
  </si>
  <si>
    <t xml:space="preserve">M0282</t>
  </si>
  <si>
    <t xml:space="preserve">M0284</t>
  </si>
  <si>
    <t xml:space="preserve">M0306</t>
  </si>
  <si>
    <t xml:space="preserve">M0323</t>
  </si>
  <si>
    <t xml:space="preserve">M0332</t>
  </si>
  <si>
    <t xml:space="preserve">M0334</t>
  </si>
  <si>
    <t xml:space="preserve">M0343</t>
  </si>
  <si>
    <t xml:space="preserve">M0386</t>
  </si>
  <si>
    <t xml:space="preserve">M0400</t>
  </si>
  <si>
    <t xml:space="preserve">M0430</t>
  </si>
  <si>
    <t xml:space="preserve">M0434</t>
  </si>
  <si>
    <t xml:space="preserve">M0438</t>
  </si>
  <si>
    <t xml:space="preserve">M0002</t>
  </si>
  <si>
    <t xml:space="preserve">M0003</t>
  </si>
  <si>
    <t xml:space="preserve">M0004</t>
  </si>
  <si>
    <t xml:space="preserve">M0006</t>
  </si>
  <si>
    <t xml:space="preserve">M0007</t>
  </si>
  <si>
    <t xml:space="preserve">M0009</t>
  </si>
  <si>
    <t xml:space="preserve">M0011</t>
  </si>
  <si>
    <t xml:space="preserve">M0012</t>
  </si>
  <si>
    <t xml:space="preserve">M0013</t>
  </si>
  <si>
    <t xml:space="preserve">M0014</t>
  </si>
  <si>
    <t xml:space="preserve">M0015</t>
  </si>
  <si>
    <t xml:space="preserve">M0016</t>
  </si>
  <si>
    <t xml:space="preserve">M0017</t>
  </si>
  <si>
    <t xml:space="preserve">M0018</t>
  </si>
  <si>
    <t xml:space="preserve">M0022</t>
  </si>
  <si>
    <t xml:space="preserve">M0023</t>
  </si>
  <si>
    <t xml:space="preserve">M0027</t>
  </si>
  <si>
    <t xml:space="preserve">M0028</t>
  </si>
  <si>
    <t xml:space="preserve">M0030</t>
  </si>
  <si>
    <t xml:space="preserve">M0035</t>
  </si>
  <si>
    <t xml:space="preserve">M0040</t>
  </si>
  <si>
    <t xml:space="preserve">M0042</t>
  </si>
  <si>
    <t xml:space="preserve">M0051</t>
  </si>
  <si>
    <t xml:space="preserve">M0053</t>
  </si>
  <si>
    <t xml:space="preserve">M0055</t>
  </si>
  <si>
    <t xml:space="preserve">M0056</t>
  </si>
  <si>
    <t xml:space="preserve">M0057</t>
  </si>
  <si>
    <t xml:space="preserve">M0061</t>
  </si>
  <si>
    <t xml:space="preserve">M0063</t>
  </si>
  <si>
    <t xml:space="preserve">M0069</t>
  </si>
  <si>
    <t xml:space="preserve">M0072</t>
  </si>
  <si>
    <t xml:space="preserve">M0077</t>
  </si>
  <si>
    <t xml:space="preserve">M0082</t>
  </si>
  <si>
    <t xml:space="preserve">M0085</t>
  </si>
  <si>
    <t xml:space="preserve">M0086</t>
  </si>
  <si>
    <t xml:space="preserve">M0099</t>
  </si>
  <si>
    <t xml:space="preserve">M0107</t>
  </si>
  <si>
    <t xml:space="preserve">M0111</t>
  </si>
  <si>
    <t xml:space="preserve">M0112</t>
  </si>
  <si>
    <t xml:space="preserve">M0122</t>
  </si>
  <si>
    <t xml:space="preserve">M0124</t>
  </si>
  <si>
    <t xml:space="preserve">M0130</t>
  </si>
  <si>
    <t xml:space="preserve">M0136</t>
  </si>
  <si>
    <t xml:space="preserve">M0142</t>
  </si>
  <si>
    <t xml:space="preserve">M0148</t>
  </si>
  <si>
    <t xml:space="preserve">M0157</t>
  </si>
  <si>
    <t xml:space="preserve">M0167</t>
  </si>
  <si>
    <t xml:space="preserve">M0179</t>
  </si>
  <si>
    <t xml:space="preserve">M0184</t>
  </si>
  <si>
    <t xml:space="preserve">M0189</t>
  </si>
  <si>
    <t xml:space="preserve">M0221</t>
  </si>
  <si>
    <t xml:space="preserve">M0233</t>
  </si>
  <si>
    <t xml:space="preserve">M0250</t>
  </si>
  <si>
    <t xml:space="preserve">M0254</t>
  </si>
  <si>
    <t xml:space="preserve">M0272</t>
  </si>
  <si>
    <t xml:space="preserve">M0277</t>
  </si>
  <si>
    <t xml:space="preserve">M0296</t>
  </si>
  <si>
    <t xml:space="preserve">M0329</t>
  </si>
  <si>
    <t xml:space="preserve">M0337</t>
  </si>
  <si>
    <t xml:space="preserve">M0345</t>
  </si>
  <si>
    <t xml:space="preserve">M0351</t>
  </si>
  <si>
    <t xml:space="preserve">M0378</t>
  </si>
  <si>
    <t xml:space="preserve">M0397</t>
  </si>
  <si>
    <t xml:space="preserve">M0398</t>
  </si>
  <si>
    <t xml:space="preserve">M0403</t>
  </si>
  <si>
    <t xml:space="preserve">M0423</t>
  </si>
  <si>
    <t xml:space="preserve">M0444</t>
  </si>
  <si>
    <t xml:space="preserve">M0445</t>
  </si>
  <si>
    <t xml:space="preserve">M0446</t>
  </si>
  <si>
    <t xml:space="preserve">M0447</t>
  </si>
  <si>
    <t xml:space="preserve">M0449</t>
  </si>
  <si>
    <t xml:space="preserve">M0457</t>
  </si>
  <si>
    <t xml:space="preserve">3 - Excluded (no full-text needed)</t>
  </si>
  <si>
    <t xml:space="preserve">M0146</t>
  </si>
  <si>
    <t xml:space="preserve">Excluded</t>
  </si>
  <si>
    <t xml:space="preserve">Outside domain (unrelated field)</t>
  </si>
  <si>
    <t xml:space="preserve">M0268</t>
  </si>
  <si>
    <t xml:space="preserve">Pure corrosion study (no scale-formation component)</t>
  </si>
  <si>
    <t xml:space="preserve">M0049</t>
  </si>
  <si>
    <t xml:space="preserve">M0344</t>
  </si>
  <si>
    <t xml:space="preserve">Unrelated industry (non-oilfield application)</t>
  </si>
  <si>
    <t xml:space="preserve">M0083</t>
  </si>
  <si>
    <t xml:space="preserve">M0113</t>
  </si>
  <si>
    <t xml:space="preserve">Retracted publication</t>
  </si>
  <si>
    <t xml:space="preserve">M0227</t>
  </si>
  <si>
    <t xml:space="preserve">Different phenomenon (not flow-assurance mineral scale)</t>
  </si>
  <si>
    <t xml:space="preserve">M0286</t>
  </si>
  <si>
    <t xml:space="preserve">M0355</t>
  </si>
  <si>
    <t xml:space="preserve">M0291</t>
  </si>
  <si>
    <t xml:space="preserve">M0305</t>
  </si>
  <si>
    <t xml:space="preserve">M0100</t>
  </si>
  <si>
    <t xml:space="preserve">M0127</t>
  </si>
  <si>
    <t xml:space="preserve">M0367</t>
  </si>
  <si>
    <t xml:space="preserve">M0281</t>
  </si>
  <si>
    <t xml:space="preserve">M0032</t>
  </si>
  <si>
    <t xml:space="preserve">M0039</t>
  </si>
  <si>
    <t xml:space="preserve">Non-substantive record (book TOC/chapter/index)</t>
  </si>
  <si>
    <t xml:space="preserve">M0060</t>
  </si>
  <si>
    <t xml:space="preserve">M0182</t>
  </si>
  <si>
    <t xml:space="preserve">M0298</t>
  </si>
  <si>
    <t xml:space="preserve">M0299</t>
  </si>
  <si>
    <t xml:space="preserve">M0331</t>
  </si>
  <si>
    <t xml:space="preserve">M0336</t>
  </si>
  <si>
    <t xml:space="preserve">M0339</t>
  </si>
  <si>
    <t xml:space="preserve">M0372</t>
  </si>
  <si>
    <t xml:space="preserve">M0373</t>
  </si>
  <si>
    <t xml:space="preserve">M0374</t>
  </si>
  <si>
    <t xml:space="preserve">M0375</t>
  </si>
  <si>
    <t xml:space="preserve">M0458</t>
  </si>
  <si>
    <t xml:space="preserve">M0460</t>
  </si>
</sst>
</file>

<file path=xl/styles.xml><?xml version="1.0" encoding="utf-8"?>
<styleSheet xmlns="http://schemas.openxmlformats.org/spreadsheetml/2006/main">
  <numFmts count="2">
    <numFmt numFmtId="164" formatCode="General"/>
    <numFmt numFmtId="165" formatCode="0.0%"/>
  </numFmts>
  <fonts count="29">
    <font>
      <sz val="11"/>
      <color theme="1"/>
      <name val="Calibri"/>
      <family val="2"/>
      <charset val="1"/>
    </font>
    <font>
      <sz val="10"/>
      <name val="Arial"/>
      <family val="0"/>
    </font>
    <font>
      <sz val="10"/>
      <name val="Arial"/>
      <family val="0"/>
    </font>
    <font>
      <sz val="10"/>
      <name val="Arial"/>
      <family val="0"/>
    </font>
    <font>
      <b val="true"/>
      <sz val="14"/>
      <color rgb="FF1F3864"/>
      <name val="Arial"/>
      <family val="2"/>
      <charset val="1"/>
    </font>
    <font>
      <i val="true"/>
      <sz val="9"/>
      <color rgb="FF444444"/>
      <name val="Arial"/>
      <family val="2"/>
      <charset val="1"/>
    </font>
    <font>
      <b val="true"/>
      <sz val="10"/>
      <color rgb="FFFFFFFF"/>
      <name val="Arial"/>
      <family val="2"/>
      <charset val="1"/>
    </font>
    <font>
      <sz val="10"/>
      <name val="Arial"/>
      <family val="2"/>
      <charset val="1"/>
    </font>
    <font>
      <b val="true"/>
      <sz val="10"/>
      <name val="Arial"/>
      <family val="2"/>
      <charset val="1"/>
    </font>
    <font>
      <b val="true"/>
      <sz val="9.5"/>
      <color rgb="FFFFFFFF"/>
      <name val="Arial"/>
      <family val="2"/>
      <charset val="1"/>
    </font>
    <font>
      <sz val="9"/>
      <name val="Arial"/>
      <family val="2"/>
      <charset val="1"/>
    </font>
    <font>
      <b val="true"/>
      <sz val="16"/>
      <color rgb="FF1F3864"/>
      <name val="Arial"/>
      <family val="2"/>
      <charset val="1"/>
    </font>
    <font>
      <i val="true"/>
      <sz val="11"/>
      <color rgb="FFB7862C"/>
      <name val="Arial"/>
      <family val="2"/>
      <charset val="1"/>
    </font>
    <font>
      <b val="true"/>
      <sz val="12"/>
      <color rgb="FF1F3864"/>
      <name val="Arial"/>
      <family val="2"/>
      <charset val="1"/>
    </font>
    <font>
      <sz val="10.5"/>
      <color rgb="FF222222"/>
      <name val="Arial"/>
      <family val="2"/>
      <charset val="1"/>
    </font>
    <font>
      <sz val="9.5"/>
      <name val="Arial"/>
      <family val="2"/>
      <charset val="1"/>
    </font>
    <font>
      <sz val="9.5"/>
      <color rgb="FF0000FF"/>
      <name val="Arial"/>
      <family val="2"/>
      <charset val="1"/>
    </font>
    <font>
      <b val="true"/>
      <sz val="10"/>
      <color rgb="FFB7862C"/>
      <name val="Arial"/>
      <family val="2"/>
      <charset val="1"/>
    </font>
    <font>
      <b val="true"/>
      <sz val="9.5"/>
      <name val="Arial"/>
      <family val="2"/>
      <charset val="1"/>
    </font>
    <font>
      <sz val="9.5"/>
      <name val="Arial"/>
      <family val="0"/>
      <charset val="1"/>
    </font>
    <font>
      <i val="true"/>
      <sz val="9.5"/>
      <color rgb="FF808080"/>
      <name val="Arial"/>
      <family val="2"/>
      <charset val="1"/>
    </font>
    <font>
      <sz val="9"/>
      <name val="Arial"/>
      <family val="0"/>
      <charset val="1"/>
    </font>
    <font>
      <sz val="11"/>
      <name val="Arial"/>
      <family val="2"/>
      <charset val="1"/>
    </font>
    <font>
      <i val="true"/>
      <sz val="9.5"/>
      <color rgb="FF444444"/>
      <name val="Arial"/>
      <family val="2"/>
      <charset val="1"/>
    </font>
    <font>
      <b val="true"/>
      <sz val="12"/>
      <color rgb="FFB7862C"/>
      <name val="Arial"/>
      <family val="2"/>
      <charset val="1"/>
    </font>
    <font>
      <sz val="10"/>
      <color rgb="FF000000"/>
      <name val="Arial"/>
      <family val="2"/>
      <charset val="1"/>
    </font>
    <font>
      <b val="true"/>
      <sz val="10"/>
      <color rgb="FF1F3864"/>
      <name val="Arial"/>
      <family val="2"/>
      <charset val="1"/>
    </font>
    <font>
      <b val="true"/>
      <sz val="10"/>
      <color rgb="FF000000"/>
      <name val="Arial"/>
      <family val="2"/>
      <charset val="1"/>
    </font>
    <font>
      <b val="true"/>
      <sz val="9"/>
      <color rgb="FFFFFFFF"/>
      <name val="Arial"/>
      <family val="2"/>
      <charset val="1"/>
    </font>
  </fonts>
  <fills count="8">
    <fill>
      <patternFill patternType="none"/>
    </fill>
    <fill>
      <patternFill patternType="gray125"/>
    </fill>
    <fill>
      <patternFill patternType="solid">
        <fgColor rgb="FF1F3864"/>
        <bgColor rgb="FF333399"/>
      </patternFill>
    </fill>
    <fill>
      <patternFill patternType="solid">
        <fgColor rgb="FFF2F2F2"/>
        <bgColor rgb="FFFBEAEA"/>
      </patternFill>
    </fill>
    <fill>
      <patternFill patternType="solid">
        <fgColor rgb="FFDCE6F1"/>
        <bgColor rgb="FFF2F2F2"/>
      </patternFill>
    </fill>
    <fill>
      <patternFill patternType="solid">
        <fgColor rgb="FFB7862C"/>
        <bgColor rgb="FF808080"/>
      </patternFill>
    </fill>
    <fill>
      <patternFill patternType="solid">
        <fgColor rgb="FFFFF3CD"/>
        <bgColor rgb="FFFBEAEA"/>
      </patternFill>
    </fill>
    <fill>
      <patternFill patternType="solid">
        <fgColor rgb="FFFBEAEA"/>
        <bgColor rgb="FFF2F2F2"/>
      </patternFill>
    </fill>
  </fills>
  <borders count="4">
    <border diagonalUp="false" diagonalDown="false">
      <left/>
      <right/>
      <top/>
      <bottom/>
      <diagonal/>
    </border>
    <border diagonalUp="false" diagonalDown="false">
      <left style="thin">
        <color rgb="FFCCCCCC"/>
      </left>
      <right style="thin">
        <color rgb="FFCCCCCC"/>
      </right>
      <top style="thin">
        <color rgb="FFCCCCCC"/>
      </top>
      <bottom style="thin">
        <color rgb="FFCCCCCC"/>
      </bottom>
      <diagonal/>
    </border>
    <border diagonalUp="false" diagonalDown="false">
      <left style="thin">
        <color rgb="FFAAAAAA"/>
      </left>
      <right style="thin">
        <color rgb="FFAAAAAA"/>
      </right>
      <top style="thin">
        <color rgb="FFAAAAAA"/>
      </top>
      <bottom style="thin">
        <color rgb="FFAAAAAA"/>
      </bottom>
      <diagonal/>
    </border>
    <border diagonalUp="false" diagonalDown="false">
      <left style="thin"/>
      <right style="thin"/>
      <top style="thin"/>
      <bottom style="thin"/>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46">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false">
      <alignment horizontal="general" vertical="bottom" textRotation="0" wrapText="false" indent="0" shrinkToFit="false"/>
      <protection locked="true" hidden="false"/>
    </xf>
    <xf numFmtId="164" fontId="4" fillId="0" borderId="0" xfId="0" applyFont="true" applyBorder="false" applyAlignment="true" applyProtection="false">
      <alignment horizontal="general" vertical="bottom" textRotation="0" wrapText="false" indent="0" shrinkToFit="false"/>
      <protection locked="true" hidden="false"/>
    </xf>
    <xf numFmtId="164" fontId="5" fillId="0" borderId="0" xfId="0" applyFont="true" applyBorder="true" applyAlignment="true" applyProtection="false">
      <alignment horizontal="general" vertical="top" textRotation="0" wrapText="true" indent="0" shrinkToFit="false"/>
      <protection locked="true" hidden="false"/>
    </xf>
    <xf numFmtId="164" fontId="6" fillId="2" borderId="1" xfId="0" applyFont="true" applyBorder="true" applyAlignment="true" applyProtection="false">
      <alignment horizontal="general" vertical="bottom" textRotation="0" wrapText="false" indent="0" shrinkToFit="false"/>
      <protection locked="true" hidden="false"/>
    </xf>
    <xf numFmtId="164" fontId="7" fillId="0" borderId="1" xfId="0" applyFont="true" applyBorder="true" applyAlignment="true" applyProtection="false">
      <alignment horizontal="general" vertical="bottom" textRotation="0" wrapText="false" indent="0" shrinkToFit="false"/>
      <protection locked="true" hidden="false"/>
    </xf>
    <xf numFmtId="164" fontId="7" fillId="3" borderId="1" xfId="0" applyFont="true" applyBorder="true" applyAlignment="true" applyProtection="false">
      <alignment horizontal="general" vertical="bottom" textRotation="0" wrapText="false" indent="0" shrinkToFit="false"/>
      <protection locked="true" hidden="false"/>
    </xf>
    <xf numFmtId="164" fontId="8" fillId="4" borderId="1" xfId="0" applyFont="true" applyBorder="true" applyAlignment="true" applyProtection="false">
      <alignment horizontal="general" vertical="bottom" textRotation="0" wrapText="false" indent="0" shrinkToFit="false"/>
      <protection locked="true" hidden="false"/>
    </xf>
    <xf numFmtId="164" fontId="9" fillId="5" borderId="1" xfId="0" applyFont="true" applyBorder="true" applyAlignment="true" applyProtection="false">
      <alignment horizontal="center" vertical="center" textRotation="0" wrapText="true" indent="0" shrinkToFit="false"/>
      <protection locked="true" hidden="false"/>
    </xf>
    <xf numFmtId="164" fontId="10" fillId="0" borderId="1" xfId="0" applyFont="true" applyBorder="true" applyAlignment="true" applyProtection="false">
      <alignment horizontal="general" vertical="top" textRotation="0" wrapText="true" indent="0" shrinkToFit="false"/>
      <protection locked="true" hidden="false"/>
    </xf>
    <xf numFmtId="164" fontId="10" fillId="3" borderId="1" xfId="0" applyFont="true" applyBorder="true" applyAlignment="true" applyProtection="false">
      <alignment horizontal="general" vertical="top" textRotation="0" wrapText="true" indent="0" shrinkToFit="false"/>
      <protection locked="true" hidden="false"/>
    </xf>
    <xf numFmtId="164" fontId="11" fillId="0" borderId="0" xfId="0" applyFont="true" applyBorder="false" applyAlignment="true" applyProtection="false">
      <alignment horizontal="general" vertical="bottom" textRotation="0" wrapText="false" indent="0" shrinkToFit="false"/>
      <protection locked="true" hidden="false"/>
    </xf>
    <xf numFmtId="164" fontId="12" fillId="0" borderId="0" xfId="0" applyFont="true" applyBorder="false" applyAlignment="true" applyProtection="false">
      <alignment horizontal="general" vertical="bottom" textRotation="0" wrapText="false" indent="0" shrinkToFit="false"/>
      <protection locked="true" hidden="false"/>
    </xf>
    <xf numFmtId="164" fontId="13" fillId="0" borderId="0" xfId="0" applyFont="true" applyBorder="false" applyAlignment="true" applyProtection="false">
      <alignment horizontal="general" vertical="bottom" textRotation="0" wrapText="false" indent="0" shrinkToFit="false"/>
      <protection locked="true" hidden="false"/>
    </xf>
    <xf numFmtId="164" fontId="14" fillId="0" borderId="0" xfId="0" applyFont="true" applyBorder="false" applyAlignment="true" applyProtection="false">
      <alignment horizontal="general" vertical="top" textRotation="0" wrapText="true" indent="0" shrinkToFit="false"/>
      <protection locked="true" hidden="false"/>
    </xf>
    <xf numFmtId="164" fontId="6" fillId="2" borderId="2" xfId="0" applyFont="true" applyBorder="true" applyAlignment="true" applyProtection="false">
      <alignment horizontal="center" vertical="center" textRotation="0" wrapText="true" indent="0" shrinkToFit="false"/>
      <protection locked="true" hidden="false"/>
    </xf>
    <xf numFmtId="164" fontId="15" fillId="3" borderId="1" xfId="0" applyFont="true" applyBorder="true" applyAlignment="true" applyProtection="false">
      <alignment horizontal="general" vertical="top" textRotation="0" wrapText="true" indent="0" shrinkToFit="false"/>
      <protection locked="true" hidden="false"/>
    </xf>
    <xf numFmtId="164" fontId="16" fillId="3" borderId="1" xfId="0" applyFont="true" applyBorder="true" applyAlignment="true" applyProtection="false">
      <alignment horizontal="general" vertical="top" textRotation="0" wrapText="true" indent="0" shrinkToFit="false"/>
      <protection locked="true" hidden="false"/>
    </xf>
    <xf numFmtId="164" fontId="15" fillId="0" borderId="1" xfId="0" applyFont="true" applyBorder="true" applyAlignment="true" applyProtection="false">
      <alignment horizontal="general" vertical="top" textRotation="0" wrapText="true" indent="0" shrinkToFit="false"/>
      <protection locked="true" hidden="false"/>
    </xf>
    <xf numFmtId="164" fontId="16" fillId="0" borderId="1" xfId="0" applyFont="true" applyBorder="true" applyAlignment="true" applyProtection="false">
      <alignment horizontal="general" vertical="top" textRotation="0" wrapText="true" indent="0" shrinkToFit="false"/>
      <protection locked="true" hidden="false"/>
    </xf>
    <xf numFmtId="164" fontId="0" fillId="0" borderId="0" xfId="0" applyFont="false" applyBorder="false" applyAlignment="true" applyProtection="false">
      <alignment horizontal="general" vertical="top" textRotation="0" wrapText="true" indent="0" shrinkToFit="false"/>
      <protection locked="true" hidden="false"/>
    </xf>
    <xf numFmtId="164" fontId="17" fillId="0" borderId="0" xfId="0" applyFont="true" applyBorder="false" applyAlignment="true" applyProtection="false">
      <alignment horizontal="general" vertical="top" textRotation="0" wrapText="true" indent="0" shrinkToFit="false"/>
      <protection locked="true" hidden="false"/>
    </xf>
    <xf numFmtId="164" fontId="18" fillId="0" borderId="0" xfId="0" applyFont="true" applyBorder="true" applyAlignment="true" applyProtection="false">
      <alignment horizontal="general" vertical="top" textRotation="0" wrapText="true" indent="0" shrinkToFit="false"/>
      <protection locked="true" hidden="false"/>
    </xf>
    <xf numFmtId="164" fontId="18" fillId="4" borderId="1" xfId="0" applyFont="true" applyBorder="true" applyAlignment="true" applyProtection="false">
      <alignment horizontal="general" vertical="top" textRotation="0" wrapText="true" indent="0" shrinkToFit="false"/>
      <protection locked="true" hidden="false"/>
    </xf>
    <xf numFmtId="164" fontId="19" fillId="0" borderId="3" xfId="0" applyFont="true" applyBorder="true" applyAlignment="true" applyProtection="false">
      <alignment horizontal="general" vertical="top" textRotation="0" wrapText="true" indent="0" shrinkToFit="false"/>
      <protection locked="true" hidden="false"/>
    </xf>
    <xf numFmtId="164" fontId="20" fillId="0" borderId="1" xfId="0" applyFont="true" applyBorder="true" applyAlignment="true" applyProtection="false">
      <alignment horizontal="general" vertical="top" textRotation="0" wrapText="true" indent="0" shrinkToFit="false"/>
      <protection locked="true" hidden="false"/>
    </xf>
    <xf numFmtId="164" fontId="21" fillId="0" borderId="1" xfId="0" applyFont="true" applyBorder="true" applyAlignment="true" applyProtection="false">
      <alignment horizontal="general" vertical="top" textRotation="0" wrapText="true" indent="0" shrinkToFit="false"/>
      <protection locked="true" hidden="false"/>
    </xf>
    <xf numFmtId="164" fontId="20" fillId="0" borderId="0" xfId="0" applyFont="true" applyBorder="false" applyAlignment="true" applyProtection="false">
      <alignment horizontal="general" vertical="bottom" textRotation="0" wrapText="false" indent="0" shrinkToFit="false"/>
      <protection locked="true" hidden="false"/>
    </xf>
    <xf numFmtId="164" fontId="6" fillId="2" borderId="1" xfId="0" applyFont="true" applyBorder="true" applyAlignment="true" applyProtection="false">
      <alignment horizontal="center" vertical="center" textRotation="0" wrapText="true" indent="0" shrinkToFit="false"/>
      <protection locked="true" hidden="false"/>
    </xf>
    <xf numFmtId="165" fontId="7" fillId="0" borderId="1" xfId="0" applyFont="true" applyBorder="true" applyAlignment="true" applyProtection="false">
      <alignment horizontal="general" vertical="bottom" textRotation="0" wrapText="false" indent="0" shrinkToFit="false"/>
      <protection locked="true" hidden="false"/>
    </xf>
    <xf numFmtId="165" fontId="7" fillId="3" borderId="1" xfId="0" applyFont="true" applyBorder="true" applyAlignment="true" applyProtection="false">
      <alignment horizontal="general" vertical="bottom" textRotation="0" wrapText="false" indent="0" shrinkToFit="false"/>
      <protection locked="true" hidden="false"/>
    </xf>
    <xf numFmtId="165" fontId="8" fillId="4" borderId="1" xfId="0" applyFont="true" applyBorder="true" applyAlignment="true" applyProtection="false">
      <alignment horizontal="general" vertical="bottom" textRotation="0" wrapText="false" indent="0" shrinkToFit="false"/>
      <protection locked="true" hidden="false"/>
    </xf>
    <xf numFmtId="164" fontId="22" fillId="0" borderId="0" xfId="0" applyFont="true" applyBorder="false" applyAlignment="true" applyProtection="false">
      <alignment horizontal="general" vertical="top" textRotation="0" wrapText="true" indent="0" shrinkToFit="false"/>
      <protection locked="true" hidden="false"/>
    </xf>
    <xf numFmtId="164" fontId="22" fillId="0" borderId="0" xfId="0" applyFont="true" applyBorder="false" applyAlignment="true" applyProtection="false">
      <alignment horizontal="general" vertical="bottom" textRotation="0" wrapText="false" indent="0" shrinkToFit="false"/>
      <protection locked="true" hidden="false"/>
    </xf>
    <xf numFmtId="164" fontId="23" fillId="0" borderId="0" xfId="0" applyFont="true" applyBorder="true" applyAlignment="true" applyProtection="false">
      <alignment horizontal="general" vertical="top" textRotation="0" wrapText="true" indent="0" shrinkToFit="false"/>
      <protection locked="true" hidden="false"/>
    </xf>
    <xf numFmtId="164" fontId="24" fillId="0" borderId="0" xfId="0" applyFont="true" applyBorder="true" applyAlignment="true" applyProtection="false">
      <alignment horizontal="general" vertical="bottom" textRotation="0" wrapText="false" indent="0" shrinkToFit="false"/>
      <protection locked="true" hidden="false"/>
    </xf>
    <xf numFmtId="164" fontId="25" fillId="0" borderId="1" xfId="0" applyFont="true" applyBorder="true" applyAlignment="true" applyProtection="false">
      <alignment horizontal="general" vertical="bottom" textRotation="0" wrapText="false" indent="0" shrinkToFit="false"/>
      <protection locked="true" hidden="false"/>
    </xf>
    <xf numFmtId="164" fontId="26" fillId="0" borderId="0" xfId="0" applyFont="true" applyBorder="true" applyAlignment="true" applyProtection="false">
      <alignment horizontal="general" vertical="bottom" textRotation="0" wrapText="false" indent="0" shrinkToFit="false"/>
      <protection locked="true" hidden="false"/>
    </xf>
    <xf numFmtId="164" fontId="27" fillId="4" borderId="1" xfId="0" applyFont="true" applyBorder="true" applyAlignment="true" applyProtection="false">
      <alignment horizontal="general" vertical="bottom" textRotation="0" wrapText="false" indent="0" shrinkToFit="false"/>
      <protection locked="true" hidden="false"/>
    </xf>
    <xf numFmtId="164" fontId="28" fillId="2" borderId="1" xfId="0" applyFont="true" applyBorder="true" applyAlignment="true" applyProtection="false">
      <alignment horizontal="center" vertical="center" textRotation="0" wrapText="true" indent="0" shrinkToFit="false"/>
      <protection locked="true" hidden="false"/>
    </xf>
    <xf numFmtId="164" fontId="21" fillId="6" borderId="3" xfId="0" applyFont="true" applyBorder="true" applyAlignment="true" applyProtection="false">
      <alignment horizontal="general" vertical="top" textRotation="0" wrapText="true" indent="0" shrinkToFit="false"/>
      <protection locked="true" hidden="false"/>
    </xf>
    <xf numFmtId="164" fontId="21" fillId="0" borderId="3" xfId="0" applyFont="true" applyBorder="true" applyAlignment="true" applyProtection="false">
      <alignment horizontal="general" vertical="top" textRotation="0" wrapText="true" indent="0" shrinkToFit="false"/>
      <protection locked="true" hidden="false"/>
    </xf>
    <xf numFmtId="164" fontId="21" fillId="3" borderId="3" xfId="0" applyFont="true" applyBorder="true" applyAlignment="true" applyProtection="false">
      <alignment horizontal="general" vertical="top" textRotation="0" wrapText="true" indent="0" shrinkToFit="false"/>
      <protection locked="true" hidden="false"/>
    </xf>
    <xf numFmtId="164" fontId="21" fillId="7" borderId="3" xfId="0" applyFont="true" applyBorder="true" applyAlignment="true" applyProtection="false">
      <alignment horizontal="general" vertical="top" textRotation="0" wrapText="true" indent="0" shrinkToFit="false"/>
      <protection locked="true" hidden="false"/>
    </xf>
    <xf numFmtId="164" fontId="21" fillId="7" borderId="3" xfId="0" applyFont="true" applyBorder="true" applyAlignment="true" applyProtection="false">
      <alignment horizontal="general" vertical="bottom" textRotation="0" wrapText="false" indent="0" shrinkToFit="false"/>
      <protection locked="true" hidden="false"/>
    </xf>
    <xf numFmtId="164" fontId="21" fillId="0" borderId="3" xfId="0" applyFont="true" applyBorder="true" applyAlignment="tru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B7862C"/>
      <rgbColor rgb="FF800080"/>
      <rgbColor rgb="FF008080"/>
      <rgbColor rgb="FFCCCCCC"/>
      <rgbColor rgb="FF808080"/>
      <rgbColor rgb="FF9999FF"/>
      <rgbColor rgb="FF993366"/>
      <rgbColor rgb="FFFFF3CD"/>
      <rgbColor rgb="FFDCE6F1"/>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F2F2F2"/>
      <rgbColor rgb="FFCCFFCC"/>
      <rgbColor rgb="FFFBEAEA"/>
      <rgbColor rgb="FF99CCFF"/>
      <rgbColor rgb="FFFF99CC"/>
      <rgbColor rgb="FFCC99FF"/>
      <rgbColor rgb="FFFFCC99"/>
      <rgbColor rgb="FF3366FF"/>
      <rgbColor rgb="FF33CCCC"/>
      <rgbColor rgb="FF99CC00"/>
      <rgbColor rgb="FFFFCC00"/>
      <rgbColor rgb="FFFF9900"/>
      <rgbColor rgb="FFFF6600"/>
      <rgbColor rgb="FF666699"/>
      <rgbColor rgb="FFAAAAAA"/>
      <rgbColor rgb="FF1F3864"/>
      <rgbColor rgb="FF339966"/>
      <rgbColor rgb="FF003300"/>
      <rgbColor rgb="FF444444"/>
      <rgbColor rgb="FF993300"/>
      <rgbColor rgb="FF993366"/>
      <rgbColor rgb="FF333399"/>
      <rgbColor rgb="FF222222"/>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pitchFamily="0" charset="1"/>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I117"/>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16" topLeftCell="A108" activePane="bottomLeft" state="frozen"/>
      <selection pane="topLeft" activeCell="A1" activeCellId="0" sqref="A1"/>
      <selection pane="bottomLeft" activeCell="E1" activeCellId="0" sqref="E1"/>
    </sheetView>
  </sheetViews>
  <sheetFormatPr defaultColWidth="8.83203125" defaultRowHeight="15" customHeight="false" zeroHeight="false" outlineLevelRow="0" outlineLevelCol="0"/>
  <cols>
    <col collapsed="false" customWidth="true" hidden="false" outlineLevel="0" max="1" min="1" style="1" width="26"/>
    <col collapsed="false" customWidth="true" hidden="false" outlineLevel="0" max="2" min="2" style="1" width="44"/>
    <col collapsed="false" customWidth="true" hidden="false" outlineLevel="0" max="3" min="3" style="1" width="20"/>
    <col collapsed="false" customWidth="true" hidden="false" outlineLevel="0" max="4" min="4" style="1" width="6"/>
    <col collapsed="false" customWidth="true" hidden="false" outlineLevel="0" max="5" min="5" style="1" width="22"/>
    <col collapsed="false" customWidth="true" hidden="false" outlineLevel="0" max="6" min="6" style="1" width="18"/>
    <col collapsed="false" customWidth="true" hidden="false" outlineLevel="0" max="7" min="7" style="1" width="6"/>
    <col collapsed="false" customWidth="true" hidden="false" outlineLevel="0" max="8" min="8" style="1" width="8"/>
    <col collapsed="false" customWidth="true" hidden="false" outlineLevel="0" max="9" min="9" style="1" width="9"/>
  </cols>
  <sheetData>
    <row r="1" customFormat="false" ht="18" hidden="false" customHeight="true" outlineLevel="0" collapsed="false">
      <c r="A1" s="2" t="s">
        <v>0</v>
      </c>
    </row>
    <row r="2" customFormat="false" ht="39.75" hidden="false" customHeight="true" outlineLevel="0" collapsed="false">
      <c r="A2" s="3" t="s">
        <v>1</v>
      </c>
      <c r="B2" s="3"/>
      <c r="C2" s="3"/>
      <c r="D2" s="3"/>
      <c r="E2" s="3"/>
      <c r="F2" s="3"/>
      <c r="G2" s="3"/>
      <c r="H2" s="3"/>
    </row>
    <row r="4" customFormat="false" ht="15" hidden="false" customHeight="true" outlineLevel="0" collapsed="false">
      <c r="A4" s="4" t="s">
        <v>2</v>
      </c>
      <c r="B4" s="4" t="s">
        <v>3</v>
      </c>
    </row>
    <row r="5" customFormat="false" ht="15" hidden="false" customHeight="true" outlineLevel="0" collapsed="false">
      <c r="A5" s="5" t="s">
        <v>4</v>
      </c>
      <c r="B5" s="5" t="n">
        <v>15</v>
      </c>
    </row>
    <row r="6" customFormat="false" ht="15" hidden="false" customHeight="true" outlineLevel="0" collapsed="false">
      <c r="A6" s="6" t="s">
        <v>5</v>
      </c>
      <c r="B6" s="6" t="n">
        <v>15</v>
      </c>
    </row>
    <row r="7" customFormat="false" ht="15" hidden="false" customHeight="true" outlineLevel="0" collapsed="false">
      <c r="A7" s="5" t="s">
        <v>6</v>
      </c>
      <c r="B7" s="5" t="n">
        <v>22</v>
      </c>
    </row>
    <row r="8" customFormat="false" ht="15" hidden="false" customHeight="true" outlineLevel="0" collapsed="false">
      <c r="A8" s="6" t="s">
        <v>7</v>
      </c>
      <c r="B8" s="6" t="n">
        <v>15</v>
      </c>
    </row>
    <row r="9" customFormat="false" ht="15" hidden="false" customHeight="true" outlineLevel="0" collapsed="false">
      <c r="A9" s="5" t="s">
        <v>8</v>
      </c>
      <c r="B9" s="5" t="n">
        <v>12</v>
      </c>
    </row>
    <row r="10" customFormat="false" ht="15" hidden="false" customHeight="true" outlineLevel="0" collapsed="false">
      <c r="A10" s="6" t="s">
        <v>9</v>
      </c>
      <c r="B10" s="6" t="n">
        <v>9</v>
      </c>
    </row>
    <row r="11" customFormat="false" ht="15" hidden="false" customHeight="true" outlineLevel="0" collapsed="false">
      <c r="A11" s="5" t="s">
        <v>10</v>
      </c>
      <c r="B11" s="5" t="n">
        <v>5</v>
      </c>
    </row>
    <row r="12" customFormat="false" ht="15" hidden="false" customHeight="true" outlineLevel="0" collapsed="false">
      <c r="A12" s="6" t="s">
        <v>11</v>
      </c>
      <c r="B12" s="6" t="n">
        <v>8</v>
      </c>
    </row>
    <row r="13" customFormat="false" ht="15" hidden="false" customHeight="true" outlineLevel="0" collapsed="false">
      <c r="A13" s="7" t="s">
        <v>12</v>
      </c>
      <c r="B13" s="7" t="n">
        <v>101</v>
      </c>
    </row>
    <row r="16" customFormat="false" ht="27.75" hidden="false" customHeight="true" outlineLevel="0" collapsed="false">
      <c r="A16" s="8" t="s">
        <v>2</v>
      </c>
      <c r="B16" s="8" t="s">
        <v>13</v>
      </c>
      <c r="C16" s="8" t="s">
        <v>14</v>
      </c>
      <c r="D16" s="8" t="s">
        <v>15</v>
      </c>
      <c r="E16" s="8" t="s">
        <v>16</v>
      </c>
      <c r="F16" s="8" t="s">
        <v>17</v>
      </c>
      <c r="G16" s="8" t="s">
        <v>18</v>
      </c>
      <c r="H16" s="8" t="s">
        <v>19</v>
      </c>
      <c r="I16" s="8" t="s">
        <v>20</v>
      </c>
    </row>
    <row r="17" customFormat="false" ht="39" hidden="false" customHeight="true" outlineLevel="0" collapsed="false">
      <c r="A17" s="9" t="s">
        <v>4</v>
      </c>
      <c r="B17" s="9" t="s">
        <v>21</v>
      </c>
      <c r="C17" s="9" t="s">
        <v>22</v>
      </c>
      <c r="D17" s="9" t="n">
        <v>2018</v>
      </c>
      <c r="E17" s="9" t="s">
        <v>23</v>
      </c>
      <c r="F17" s="9" t="s">
        <v>24</v>
      </c>
      <c r="G17" s="9" t="s">
        <v>25</v>
      </c>
      <c r="H17" s="9" t="n">
        <v>196</v>
      </c>
      <c r="I17" s="9" t="n">
        <v>21.78</v>
      </c>
    </row>
    <row r="18" customFormat="false" ht="39" hidden="false" customHeight="true" outlineLevel="0" collapsed="false">
      <c r="A18" s="10" t="s">
        <v>4</v>
      </c>
      <c r="B18" s="10" t="s">
        <v>26</v>
      </c>
      <c r="C18" s="10" t="s">
        <v>27</v>
      </c>
      <c r="D18" s="10" t="n">
        <v>2024</v>
      </c>
      <c r="E18" s="10" t="s">
        <v>28</v>
      </c>
      <c r="F18" s="10" t="s">
        <v>29</v>
      </c>
      <c r="G18" s="10" t="s">
        <v>25</v>
      </c>
      <c r="H18" s="10" t="n">
        <v>64</v>
      </c>
      <c r="I18" s="10" t="n">
        <v>21.33</v>
      </c>
    </row>
    <row r="19" customFormat="false" ht="39" hidden="false" customHeight="true" outlineLevel="0" collapsed="false">
      <c r="A19" s="9" t="s">
        <v>4</v>
      </c>
      <c r="B19" s="9" t="s">
        <v>30</v>
      </c>
      <c r="C19" s="9" t="s">
        <v>31</v>
      </c>
      <c r="D19" s="9" t="n">
        <v>2016</v>
      </c>
      <c r="E19" s="9" t="s">
        <v>32</v>
      </c>
      <c r="F19" s="9" t="s">
        <v>33</v>
      </c>
      <c r="G19" s="9" t="s">
        <v>25</v>
      </c>
      <c r="H19" s="9" t="n">
        <v>148</v>
      </c>
      <c r="I19" s="9" t="n">
        <v>13.45</v>
      </c>
    </row>
    <row r="20" customFormat="false" ht="39" hidden="false" customHeight="true" outlineLevel="0" collapsed="false">
      <c r="A20" s="10" t="s">
        <v>4</v>
      </c>
      <c r="B20" s="10" t="s">
        <v>34</v>
      </c>
      <c r="C20" s="10" t="s">
        <v>35</v>
      </c>
      <c r="D20" s="10" t="n">
        <v>2018</v>
      </c>
      <c r="E20" s="10" t="s">
        <v>36</v>
      </c>
      <c r="F20" s="10" t="s">
        <v>37</v>
      </c>
      <c r="G20" s="10" t="s">
        <v>25</v>
      </c>
      <c r="H20" s="10" t="n">
        <v>102</v>
      </c>
      <c r="I20" s="10" t="n">
        <v>11.33</v>
      </c>
    </row>
    <row r="21" customFormat="false" ht="51.75" hidden="false" customHeight="true" outlineLevel="0" collapsed="false">
      <c r="A21" s="9" t="s">
        <v>4</v>
      </c>
      <c r="B21" s="9" t="s">
        <v>38</v>
      </c>
      <c r="C21" s="9" t="s">
        <v>39</v>
      </c>
      <c r="D21" s="9" t="n">
        <v>2017</v>
      </c>
      <c r="E21" s="9" t="s">
        <v>40</v>
      </c>
      <c r="F21" s="9" t="s">
        <v>41</v>
      </c>
      <c r="G21" s="9" t="s">
        <v>25</v>
      </c>
      <c r="H21" s="9" t="n">
        <v>70</v>
      </c>
      <c r="I21" s="9" t="n">
        <v>7</v>
      </c>
    </row>
    <row r="22" customFormat="false" ht="51.75" hidden="false" customHeight="true" outlineLevel="0" collapsed="false">
      <c r="A22" s="10" t="s">
        <v>4</v>
      </c>
      <c r="B22" s="10" t="s">
        <v>42</v>
      </c>
      <c r="C22" s="10" t="s">
        <v>43</v>
      </c>
      <c r="D22" s="10" t="n">
        <v>2021</v>
      </c>
      <c r="E22" s="10" t="s">
        <v>32</v>
      </c>
      <c r="F22" s="10" t="s">
        <v>44</v>
      </c>
      <c r="G22" s="10" t="s">
        <v>25</v>
      </c>
      <c r="H22" s="10" t="n">
        <v>36</v>
      </c>
      <c r="I22" s="10" t="n">
        <v>6</v>
      </c>
    </row>
    <row r="23" customFormat="false" ht="39" hidden="false" customHeight="true" outlineLevel="0" collapsed="false">
      <c r="A23" s="9" t="s">
        <v>4</v>
      </c>
      <c r="B23" s="9" t="s">
        <v>45</v>
      </c>
      <c r="C23" s="9" t="s">
        <v>46</v>
      </c>
      <c r="D23" s="9" t="n">
        <v>2016</v>
      </c>
      <c r="E23" s="9" t="s">
        <v>32</v>
      </c>
      <c r="F23" s="9" t="s">
        <v>47</v>
      </c>
      <c r="G23" s="9" t="s">
        <v>25</v>
      </c>
      <c r="H23" s="9" t="n">
        <v>47</v>
      </c>
      <c r="I23" s="9" t="n">
        <v>4.27</v>
      </c>
    </row>
    <row r="24" customFormat="false" ht="25.5" hidden="false" customHeight="true" outlineLevel="0" collapsed="false">
      <c r="A24" s="10" t="s">
        <v>4</v>
      </c>
      <c r="B24" s="10" t="s">
        <v>48</v>
      </c>
      <c r="C24" s="10" t="s">
        <v>49</v>
      </c>
      <c r="D24" s="10" t="n">
        <v>2023</v>
      </c>
      <c r="E24" s="10" t="s">
        <v>50</v>
      </c>
      <c r="F24" s="10" t="s">
        <v>51</v>
      </c>
      <c r="G24" s="10" t="s">
        <v>25</v>
      </c>
      <c r="H24" s="10" t="n">
        <v>16</v>
      </c>
      <c r="I24" s="10" t="n">
        <v>4</v>
      </c>
    </row>
    <row r="25" customFormat="false" ht="39" hidden="false" customHeight="true" outlineLevel="0" collapsed="false">
      <c r="A25" s="9" t="s">
        <v>4</v>
      </c>
      <c r="B25" s="9" t="s">
        <v>52</v>
      </c>
      <c r="C25" s="9" t="s">
        <v>53</v>
      </c>
      <c r="D25" s="9" t="n">
        <v>2016</v>
      </c>
      <c r="E25" s="9" t="s">
        <v>54</v>
      </c>
      <c r="F25" s="9" t="s">
        <v>55</v>
      </c>
      <c r="G25" s="9" t="s">
        <v>25</v>
      </c>
      <c r="H25" s="9" t="n">
        <v>43</v>
      </c>
      <c r="I25" s="9" t="n">
        <v>3.91</v>
      </c>
    </row>
    <row r="26" customFormat="false" ht="39" hidden="false" customHeight="true" outlineLevel="0" collapsed="false">
      <c r="A26" s="10" t="s">
        <v>4</v>
      </c>
      <c r="B26" s="10" t="s">
        <v>56</v>
      </c>
      <c r="C26" s="10" t="s">
        <v>57</v>
      </c>
      <c r="D26" s="10" t="n">
        <v>2025</v>
      </c>
      <c r="E26" s="10" t="s">
        <v>58</v>
      </c>
      <c r="F26" s="10" t="s">
        <v>59</v>
      </c>
      <c r="G26" s="10" t="s">
        <v>25</v>
      </c>
      <c r="H26" s="10" t="n">
        <v>6</v>
      </c>
      <c r="I26" s="10" t="n">
        <v>3</v>
      </c>
    </row>
    <row r="27" customFormat="false" ht="25.5" hidden="false" customHeight="true" outlineLevel="0" collapsed="false">
      <c r="A27" s="9" t="s">
        <v>4</v>
      </c>
      <c r="B27" s="9" t="s">
        <v>60</v>
      </c>
      <c r="C27" s="9" t="s">
        <v>61</v>
      </c>
      <c r="D27" s="9" t="n">
        <v>2021</v>
      </c>
      <c r="E27" s="9" t="s">
        <v>62</v>
      </c>
      <c r="F27" s="9" t="s">
        <v>63</v>
      </c>
      <c r="G27" s="9" t="s">
        <v>25</v>
      </c>
      <c r="H27" s="9" t="n">
        <v>17</v>
      </c>
      <c r="I27" s="9" t="n">
        <v>2.83</v>
      </c>
    </row>
    <row r="28" customFormat="false" ht="64.5" hidden="false" customHeight="true" outlineLevel="0" collapsed="false">
      <c r="A28" s="10" t="s">
        <v>4</v>
      </c>
      <c r="B28" s="10" t="s">
        <v>64</v>
      </c>
      <c r="C28" s="10" t="s">
        <v>65</v>
      </c>
      <c r="D28" s="10" t="n">
        <v>2020</v>
      </c>
      <c r="E28" s="10" t="s">
        <v>66</v>
      </c>
      <c r="F28" s="10" t="s">
        <v>67</v>
      </c>
      <c r="G28" s="10" t="s">
        <v>25</v>
      </c>
      <c r="H28" s="10" t="n">
        <v>19</v>
      </c>
      <c r="I28" s="10" t="n">
        <v>2.71</v>
      </c>
    </row>
    <row r="29" customFormat="false" ht="51.75" hidden="false" customHeight="true" outlineLevel="0" collapsed="false">
      <c r="A29" s="9" t="s">
        <v>4</v>
      </c>
      <c r="B29" s="9" t="s">
        <v>68</v>
      </c>
      <c r="C29" s="9" t="s">
        <v>69</v>
      </c>
      <c r="D29" s="9" t="n">
        <v>2024</v>
      </c>
      <c r="E29" s="9" t="s">
        <v>70</v>
      </c>
      <c r="F29" s="9" t="s">
        <v>71</v>
      </c>
      <c r="G29" s="9" t="s">
        <v>25</v>
      </c>
      <c r="H29" s="9" t="n">
        <v>8</v>
      </c>
      <c r="I29" s="9" t="n">
        <v>2.67</v>
      </c>
    </row>
    <row r="30" customFormat="false" ht="39" hidden="false" customHeight="true" outlineLevel="0" collapsed="false">
      <c r="A30" s="10" t="s">
        <v>4</v>
      </c>
      <c r="B30" s="10" t="s">
        <v>72</v>
      </c>
      <c r="C30" s="10" t="s">
        <v>73</v>
      </c>
      <c r="D30" s="10" t="n">
        <v>2018</v>
      </c>
      <c r="E30" s="10" t="s">
        <v>32</v>
      </c>
      <c r="F30" s="10" t="s">
        <v>74</v>
      </c>
      <c r="G30" s="10" t="s">
        <v>25</v>
      </c>
      <c r="H30" s="10" t="n">
        <v>23</v>
      </c>
      <c r="I30" s="10" t="n">
        <v>2.56</v>
      </c>
    </row>
    <row r="31" customFormat="false" ht="39" hidden="false" customHeight="true" outlineLevel="0" collapsed="false">
      <c r="A31" s="9" t="s">
        <v>4</v>
      </c>
      <c r="B31" s="9" t="s">
        <v>75</v>
      </c>
      <c r="C31" s="9" t="s">
        <v>76</v>
      </c>
      <c r="D31" s="9" t="n">
        <v>2021</v>
      </c>
      <c r="E31" s="9" t="s">
        <v>77</v>
      </c>
      <c r="F31" s="9" t="s">
        <v>78</v>
      </c>
      <c r="G31" s="9" t="s">
        <v>25</v>
      </c>
      <c r="H31" s="9" t="n">
        <v>15</v>
      </c>
      <c r="I31" s="9" t="n">
        <v>2.5</v>
      </c>
    </row>
    <row r="32" customFormat="false" ht="90.75" hidden="false" customHeight="true" outlineLevel="0" collapsed="false">
      <c r="A32" s="10" t="s">
        <v>5</v>
      </c>
      <c r="B32" s="10" t="s">
        <v>79</v>
      </c>
      <c r="C32" s="10" t="s">
        <v>80</v>
      </c>
      <c r="D32" s="10" t="n">
        <v>2017</v>
      </c>
      <c r="E32" s="10" t="s">
        <v>81</v>
      </c>
      <c r="F32" s="10" t="s">
        <v>82</v>
      </c>
      <c r="G32" s="10" t="s">
        <v>25</v>
      </c>
      <c r="H32" s="10" t="n">
        <v>40</v>
      </c>
      <c r="I32" s="10" t="n">
        <v>4</v>
      </c>
    </row>
    <row r="33" customFormat="false" ht="25.5" hidden="false" customHeight="true" outlineLevel="0" collapsed="false">
      <c r="A33" s="9" t="s">
        <v>5</v>
      </c>
      <c r="B33" s="9" t="s">
        <v>83</v>
      </c>
      <c r="C33" s="9" t="s">
        <v>84</v>
      </c>
      <c r="D33" s="9" t="n">
        <v>2020</v>
      </c>
      <c r="E33" s="9" t="s">
        <v>32</v>
      </c>
      <c r="F33" s="9" t="s">
        <v>85</v>
      </c>
      <c r="G33" s="9" t="s">
        <v>25</v>
      </c>
      <c r="H33" s="9" t="n">
        <v>24</v>
      </c>
      <c r="I33" s="9" t="n">
        <v>3.43</v>
      </c>
    </row>
    <row r="34" customFormat="false" ht="51.75" hidden="false" customHeight="true" outlineLevel="0" collapsed="false">
      <c r="A34" s="10" t="s">
        <v>5</v>
      </c>
      <c r="B34" s="10" t="s">
        <v>86</v>
      </c>
      <c r="C34" s="10" t="s">
        <v>87</v>
      </c>
      <c r="D34" s="10" t="n">
        <v>2017</v>
      </c>
      <c r="E34" s="10" t="s">
        <v>32</v>
      </c>
      <c r="F34" s="10" t="s">
        <v>88</v>
      </c>
      <c r="G34" s="10" t="s">
        <v>25</v>
      </c>
      <c r="H34" s="10" t="n">
        <v>33</v>
      </c>
      <c r="I34" s="10" t="n">
        <v>3.3</v>
      </c>
    </row>
    <row r="35" customFormat="false" ht="25.5" hidden="false" customHeight="true" outlineLevel="0" collapsed="false">
      <c r="A35" s="9" t="s">
        <v>5</v>
      </c>
      <c r="B35" s="9" t="s">
        <v>89</v>
      </c>
      <c r="C35" s="9" t="s">
        <v>90</v>
      </c>
      <c r="D35" s="9" t="n">
        <v>2023</v>
      </c>
      <c r="E35" s="9" t="s">
        <v>91</v>
      </c>
      <c r="F35" s="9" t="s">
        <v>92</v>
      </c>
      <c r="G35" s="9" t="s">
        <v>25</v>
      </c>
      <c r="H35" s="9" t="n">
        <v>7</v>
      </c>
      <c r="I35" s="9" t="n">
        <v>1.75</v>
      </c>
    </row>
    <row r="36" customFormat="false" ht="39" hidden="false" customHeight="true" outlineLevel="0" collapsed="false">
      <c r="A36" s="10" t="s">
        <v>5</v>
      </c>
      <c r="B36" s="10" t="s">
        <v>93</v>
      </c>
      <c r="C36" s="10" t="s">
        <v>94</v>
      </c>
      <c r="D36" s="10" t="n">
        <v>2021</v>
      </c>
      <c r="E36" s="10" t="s">
        <v>95</v>
      </c>
      <c r="F36" s="10" t="s">
        <v>96</v>
      </c>
      <c r="G36" s="10" t="s">
        <v>25</v>
      </c>
      <c r="H36" s="10" t="n">
        <v>9</v>
      </c>
      <c r="I36" s="10" t="n">
        <v>1.5</v>
      </c>
    </row>
    <row r="37" customFormat="false" ht="25.5" hidden="false" customHeight="true" outlineLevel="0" collapsed="false">
      <c r="A37" s="9" t="s">
        <v>5</v>
      </c>
      <c r="B37" s="9" t="s">
        <v>97</v>
      </c>
      <c r="C37" s="9" t="s">
        <v>98</v>
      </c>
      <c r="D37" s="9" t="n">
        <v>2021</v>
      </c>
      <c r="E37" s="9" t="s">
        <v>99</v>
      </c>
      <c r="F37" s="9" t="s">
        <v>100</v>
      </c>
      <c r="G37" s="9" t="s">
        <v>25</v>
      </c>
      <c r="H37" s="9" t="n">
        <v>9</v>
      </c>
      <c r="I37" s="9" t="n">
        <v>1.5</v>
      </c>
    </row>
    <row r="38" customFormat="false" ht="51.75" hidden="false" customHeight="true" outlineLevel="0" collapsed="false">
      <c r="A38" s="10" t="s">
        <v>5</v>
      </c>
      <c r="B38" s="10" t="s">
        <v>101</v>
      </c>
      <c r="C38" s="10" t="s">
        <v>102</v>
      </c>
      <c r="D38" s="10" t="n">
        <v>2016</v>
      </c>
      <c r="E38" s="10" t="s">
        <v>103</v>
      </c>
      <c r="F38" s="10" t="s">
        <v>104</v>
      </c>
      <c r="G38" s="10" t="s">
        <v>25</v>
      </c>
      <c r="H38" s="10" t="n">
        <v>9</v>
      </c>
      <c r="I38" s="10" t="n">
        <v>0.82</v>
      </c>
    </row>
    <row r="39" customFormat="false" ht="64.5" hidden="false" customHeight="true" outlineLevel="0" collapsed="false">
      <c r="A39" s="9" t="s">
        <v>5</v>
      </c>
      <c r="B39" s="9" t="s">
        <v>105</v>
      </c>
      <c r="C39" s="9" t="s">
        <v>106</v>
      </c>
      <c r="D39" s="9" t="n">
        <v>2017</v>
      </c>
      <c r="E39" s="9" t="s">
        <v>107</v>
      </c>
      <c r="F39" s="9" t="s">
        <v>108</v>
      </c>
      <c r="G39" s="9" t="s">
        <v>25</v>
      </c>
      <c r="H39" s="9" t="n">
        <v>5</v>
      </c>
      <c r="I39" s="9" t="n">
        <v>0.5</v>
      </c>
    </row>
    <row r="40" customFormat="false" ht="64.5" hidden="false" customHeight="true" outlineLevel="0" collapsed="false">
      <c r="A40" s="10" t="s">
        <v>5</v>
      </c>
      <c r="B40" s="10" t="s">
        <v>109</v>
      </c>
      <c r="C40" s="10" t="s">
        <v>110</v>
      </c>
      <c r="D40" s="10" t="n">
        <v>2021</v>
      </c>
      <c r="E40" s="10" t="s">
        <v>107</v>
      </c>
      <c r="F40" s="10" t="s">
        <v>111</v>
      </c>
      <c r="G40" s="10" t="s">
        <v>25</v>
      </c>
      <c r="H40" s="10" t="n">
        <v>3</v>
      </c>
      <c r="I40" s="10" t="n">
        <v>0.5</v>
      </c>
    </row>
    <row r="41" customFormat="false" ht="39" hidden="false" customHeight="true" outlineLevel="0" collapsed="false">
      <c r="A41" s="9" t="s">
        <v>5</v>
      </c>
      <c r="B41" s="9" t="s">
        <v>112</v>
      </c>
      <c r="C41" s="9" t="s">
        <v>113</v>
      </c>
      <c r="D41" s="9" t="n">
        <v>2021</v>
      </c>
      <c r="E41" s="9" t="s">
        <v>107</v>
      </c>
      <c r="F41" s="9" t="s">
        <v>114</v>
      </c>
      <c r="G41" s="9" t="s">
        <v>25</v>
      </c>
      <c r="H41" s="9" t="n">
        <v>3</v>
      </c>
      <c r="I41" s="9" t="n">
        <v>0.5</v>
      </c>
    </row>
    <row r="42" customFormat="false" ht="51.75" hidden="false" customHeight="true" outlineLevel="0" collapsed="false">
      <c r="A42" s="10" t="s">
        <v>5</v>
      </c>
      <c r="B42" s="10" t="s">
        <v>115</v>
      </c>
      <c r="C42" s="10" t="s">
        <v>116</v>
      </c>
      <c r="D42" s="10" t="n">
        <v>2017</v>
      </c>
      <c r="E42" s="10" t="s">
        <v>117</v>
      </c>
      <c r="F42" s="10" t="s">
        <v>118</v>
      </c>
      <c r="G42" s="10" t="s">
        <v>25</v>
      </c>
      <c r="H42" s="10" t="n">
        <v>5</v>
      </c>
      <c r="I42" s="10" t="n">
        <v>0.5</v>
      </c>
    </row>
    <row r="43" customFormat="false" ht="51.75" hidden="false" customHeight="true" outlineLevel="0" collapsed="false">
      <c r="A43" s="9" t="s">
        <v>5</v>
      </c>
      <c r="B43" s="9" t="s">
        <v>119</v>
      </c>
      <c r="C43" s="9" t="s">
        <v>120</v>
      </c>
      <c r="D43" s="9" t="n">
        <v>2016</v>
      </c>
      <c r="E43" s="9" t="s">
        <v>103</v>
      </c>
      <c r="F43" s="9"/>
      <c r="G43" s="9" t="s">
        <v>25</v>
      </c>
      <c r="H43" s="9" t="n">
        <v>5</v>
      </c>
      <c r="I43" s="9" t="n">
        <v>0.45</v>
      </c>
    </row>
    <row r="44" customFormat="false" ht="64.5" hidden="false" customHeight="true" outlineLevel="0" collapsed="false">
      <c r="A44" s="10" t="s">
        <v>5</v>
      </c>
      <c r="B44" s="10" t="s">
        <v>121</v>
      </c>
      <c r="C44" s="10" t="s">
        <v>122</v>
      </c>
      <c r="D44" s="10" t="n">
        <v>2024</v>
      </c>
      <c r="E44" s="10" t="s">
        <v>123</v>
      </c>
      <c r="F44" s="10" t="s">
        <v>124</v>
      </c>
      <c r="G44" s="10" t="s">
        <v>25</v>
      </c>
      <c r="H44" s="10" t="n">
        <v>1</v>
      </c>
      <c r="I44" s="10" t="n">
        <v>0.33</v>
      </c>
    </row>
    <row r="45" customFormat="false" ht="39" hidden="false" customHeight="true" outlineLevel="0" collapsed="false">
      <c r="A45" s="9" t="s">
        <v>5</v>
      </c>
      <c r="B45" s="9" t="s">
        <v>125</v>
      </c>
      <c r="C45" s="9" t="s">
        <v>126</v>
      </c>
      <c r="D45" s="9" t="n">
        <v>2024</v>
      </c>
      <c r="E45" s="9" t="s">
        <v>123</v>
      </c>
      <c r="F45" s="9" t="s">
        <v>127</v>
      </c>
      <c r="G45" s="9" t="s">
        <v>25</v>
      </c>
      <c r="H45" s="9" t="n">
        <v>1</v>
      </c>
      <c r="I45" s="9" t="n">
        <v>0.33</v>
      </c>
    </row>
    <row r="46" customFormat="false" ht="51.75" hidden="false" customHeight="true" outlineLevel="0" collapsed="false">
      <c r="A46" s="10" t="s">
        <v>5</v>
      </c>
      <c r="B46" s="10" t="s">
        <v>128</v>
      </c>
      <c r="C46" s="10" t="s">
        <v>129</v>
      </c>
      <c r="D46" s="10" t="n">
        <v>2017</v>
      </c>
      <c r="E46" s="10" t="s">
        <v>130</v>
      </c>
      <c r="F46" s="10" t="s">
        <v>131</v>
      </c>
      <c r="G46" s="10" t="s">
        <v>25</v>
      </c>
      <c r="H46" s="10" t="n">
        <v>23</v>
      </c>
      <c r="I46" s="10" t="n">
        <v>2.3</v>
      </c>
    </row>
    <row r="47" customFormat="false" ht="39" hidden="false" customHeight="true" outlineLevel="0" collapsed="false">
      <c r="A47" s="9" t="s">
        <v>6</v>
      </c>
      <c r="B47" s="9" t="s">
        <v>132</v>
      </c>
      <c r="C47" s="9" t="s">
        <v>133</v>
      </c>
      <c r="D47" s="9" t="n">
        <v>2017</v>
      </c>
      <c r="E47" s="9" t="s">
        <v>134</v>
      </c>
      <c r="F47" s="9" t="s">
        <v>135</v>
      </c>
      <c r="G47" s="9" t="s">
        <v>25</v>
      </c>
      <c r="H47" s="9" t="n">
        <v>149</v>
      </c>
      <c r="I47" s="9" t="n">
        <v>14.9</v>
      </c>
    </row>
    <row r="48" customFormat="false" ht="25.5" hidden="false" customHeight="true" outlineLevel="0" collapsed="false">
      <c r="A48" s="10" t="s">
        <v>6</v>
      </c>
      <c r="B48" s="10" t="s">
        <v>136</v>
      </c>
      <c r="C48" s="10" t="s">
        <v>137</v>
      </c>
      <c r="D48" s="10" t="n">
        <v>2026</v>
      </c>
      <c r="E48" s="10" t="s">
        <v>138</v>
      </c>
      <c r="F48" s="10" t="s">
        <v>139</v>
      </c>
      <c r="G48" s="10" t="s">
        <v>25</v>
      </c>
      <c r="H48" s="10" t="n">
        <v>11</v>
      </c>
      <c r="I48" s="10" t="n">
        <v>11</v>
      </c>
    </row>
    <row r="49" customFormat="false" ht="39" hidden="false" customHeight="true" outlineLevel="0" collapsed="false">
      <c r="A49" s="9" t="s">
        <v>6</v>
      </c>
      <c r="B49" s="9" t="s">
        <v>140</v>
      </c>
      <c r="C49" s="9" t="s">
        <v>141</v>
      </c>
      <c r="D49" s="9" t="n">
        <v>2020</v>
      </c>
      <c r="E49" s="9" t="s">
        <v>66</v>
      </c>
      <c r="F49" s="9" t="s">
        <v>142</v>
      </c>
      <c r="G49" s="9" t="s">
        <v>25</v>
      </c>
      <c r="H49" s="9" t="n">
        <v>73</v>
      </c>
      <c r="I49" s="9" t="n">
        <v>10.43</v>
      </c>
    </row>
    <row r="50" customFormat="false" ht="51.75" hidden="false" customHeight="true" outlineLevel="0" collapsed="false">
      <c r="A50" s="10" t="s">
        <v>6</v>
      </c>
      <c r="B50" s="10" t="s">
        <v>143</v>
      </c>
      <c r="C50" s="10" t="s">
        <v>144</v>
      </c>
      <c r="D50" s="10" t="n">
        <v>2022</v>
      </c>
      <c r="E50" s="10" t="s">
        <v>145</v>
      </c>
      <c r="F50" s="10" t="s">
        <v>146</v>
      </c>
      <c r="G50" s="10" t="s">
        <v>25</v>
      </c>
      <c r="H50" s="10" t="n">
        <v>50</v>
      </c>
      <c r="I50" s="10" t="n">
        <v>10</v>
      </c>
    </row>
    <row r="51" customFormat="false" ht="25.5" hidden="false" customHeight="true" outlineLevel="0" collapsed="false">
      <c r="A51" s="9" t="s">
        <v>6</v>
      </c>
      <c r="B51" s="9" t="s">
        <v>147</v>
      </c>
      <c r="C51" s="9" t="s">
        <v>148</v>
      </c>
      <c r="D51" s="9" t="n">
        <v>2022</v>
      </c>
      <c r="E51" s="9" t="s">
        <v>32</v>
      </c>
      <c r="F51" s="9" t="s">
        <v>149</v>
      </c>
      <c r="G51" s="9" t="s">
        <v>25</v>
      </c>
      <c r="H51" s="9" t="n">
        <v>48</v>
      </c>
      <c r="I51" s="9" t="n">
        <v>9.6</v>
      </c>
    </row>
    <row r="52" customFormat="false" ht="39" hidden="false" customHeight="true" outlineLevel="0" collapsed="false">
      <c r="A52" s="10" t="s">
        <v>6</v>
      </c>
      <c r="B52" s="10" t="s">
        <v>150</v>
      </c>
      <c r="C52" s="10" t="s">
        <v>151</v>
      </c>
      <c r="D52" s="10" t="n">
        <v>2018</v>
      </c>
      <c r="E52" s="10" t="s">
        <v>32</v>
      </c>
      <c r="F52" s="10" t="s">
        <v>152</v>
      </c>
      <c r="G52" s="10" t="s">
        <v>25</v>
      </c>
      <c r="H52" s="10" t="n">
        <v>85</v>
      </c>
      <c r="I52" s="10" t="n">
        <v>9.44</v>
      </c>
    </row>
    <row r="53" customFormat="false" ht="39" hidden="false" customHeight="true" outlineLevel="0" collapsed="false">
      <c r="A53" s="9" t="s">
        <v>6</v>
      </c>
      <c r="B53" s="9" t="s">
        <v>153</v>
      </c>
      <c r="C53" s="9" t="s">
        <v>154</v>
      </c>
      <c r="D53" s="9" t="n">
        <v>2023</v>
      </c>
      <c r="E53" s="9" t="s">
        <v>155</v>
      </c>
      <c r="F53" s="9" t="s">
        <v>156</v>
      </c>
      <c r="G53" s="9" t="s">
        <v>25</v>
      </c>
      <c r="H53" s="9" t="n">
        <v>37</v>
      </c>
      <c r="I53" s="9" t="n">
        <v>9.25</v>
      </c>
    </row>
    <row r="54" customFormat="false" ht="39" hidden="false" customHeight="true" outlineLevel="0" collapsed="false">
      <c r="A54" s="10" t="s">
        <v>6</v>
      </c>
      <c r="B54" s="10" t="s">
        <v>157</v>
      </c>
      <c r="C54" s="10" t="s">
        <v>158</v>
      </c>
      <c r="D54" s="10" t="n">
        <v>2022</v>
      </c>
      <c r="E54" s="10" t="s">
        <v>159</v>
      </c>
      <c r="F54" s="10" t="s">
        <v>160</v>
      </c>
      <c r="G54" s="10" t="s">
        <v>25</v>
      </c>
      <c r="H54" s="10" t="n">
        <v>40</v>
      </c>
      <c r="I54" s="10" t="n">
        <v>8</v>
      </c>
    </row>
    <row r="55" customFormat="false" ht="39" hidden="false" customHeight="true" outlineLevel="0" collapsed="false">
      <c r="A55" s="9" t="s">
        <v>6</v>
      </c>
      <c r="B55" s="9" t="s">
        <v>161</v>
      </c>
      <c r="C55" s="9" t="s">
        <v>162</v>
      </c>
      <c r="D55" s="9" t="n">
        <v>2021</v>
      </c>
      <c r="E55" s="9" t="s">
        <v>32</v>
      </c>
      <c r="F55" s="9" t="s">
        <v>163</v>
      </c>
      <c r="G55" s="9" t="s">
        <v>25</v>
      </c>
      <c r="H55" s="9" t="n">
        <v>41</v>
      </c>
      <c r="I55" s="9" t="n">
        <v>6.83</v>
      </c>
    </row>
    <row r="56" customFormat="false" ht="51.75" hidden="false" customHeight="true" outlineLevel="0" collapsed="false">
      <c r="A56" s="10" t="s">
        <v>6</v>
      </c>
      <c r="B56" s="10" t="s">
        <v>164</v>
      </c>
      <c r="C56" s="10" t="s">
        <v>165</v>
      </c>
      <c r="D56" s="10" t="n">
        <v>2024</v>
      </c>
      <c r="E56" s="10" t="s">
        <v>166</v>
      </c>
      <c r="F56" s="10" t="s">
        <v>167</v>
      </c>
      <c r="G56" s="10" t="s">
        <v>25</v>
      </c>
      <c r="H56" s="10" t="n">
        <v>20</v>
      </c>
      <c r="I56" s="10" t="n">
        <v>6.67</v>
      </c>
    </row>
    <row r="57" customFormat="false" ht="51.75" hidden="false" customHeight="true" outlineLevel="0" collapsed="false">
      <c r="A57" s="9" t="s">
        <v>6</v>
      </c>
      <c r="B57" s="9" t="s">
        <v>168</v>
      </c>
      <c r="C57" s="9" t="s">
        <v>169</v>
      </c>
      <c r="D57" s="9" t="n">
        <v>2018</v>
      </c>
      <c r="E57" s="9" t="s">
        <v>170</v>
      </c>
      <c r="F57" s="9" t="s">
        <v>171</v>
      </c>
      <c r="G57" s="9" t="s">
        <v>25</v>
      </c>
      <c r="H57" s="9" t="n">
        <v>60</v>
      </c>
      <c r="I57" s="9" t="n">
        <v>6.67</v>
      </c>
    </row>
    <row r="58" customFormat="false" ht="25.5" hidden="false" customHeight="true" outlineLevel="0" collapsed="false">
      <c r="A58" s="10" t="s">
        <v>6</v>
      </c>
      <c r="B58" s="10" t="s">
        <v>172</v>
      </c>
      <c r="C58" s="10" t="s">
        <v>173</v>
      </c>
      <c r="D58" s="10" t="n">
        <v>2016</v>
      </c>
      <c r="E58" s="10" t="s">
        <v>174</v>
      </c>
      <c r="F58" s="10" t="s">
        <v>175</v>
      </c>
      <c r="G58" s="10" t="s">
        <v>25</v>
      </c>
      <c r="H58" s="10" t="n">
        <v>73</v>
      </c>
      <c r="I58" s="10" t="n">
        <v>6.64</v>
      </c>
    </row>
    <row r="59" customFormat="false" ht="25.5" hidden="false" customHeight="true" outlineLevel="0" collapsed="false">
      <c r="A59" s="9" t="s">
        <v>6</v>
      </c>
      <c r="B59" s="9" t="s">
        <v>176</v>
      </c>
      <c r="C59" s="9" t="s">
        <v>177</v>
      </c>
      <c r="D59" s="9" t="n">
        <v>2016</v>
      </c>
      <c r="E59" s="9" t="s">
        <v>32</v>
      </c>
      <c r="F59" s="9" t="s">
        <v>178</v>
      </c>
      <c r="G59" s="9" t="s">
        <v>25</v>
      </c>
      <c r="H59" s="9" t="n">
        <v>73</v>
      </c>
      <c r="I59" s="9" t="n">
        <v>6.64</v>
      </c>
    </row>
    <row r="60" customFormat="false" ht="51.75" hidden="false" customHeight="true" outlineLevel="0" collapsed="false">
      <c r="A60" s="10" t="s">
        <v>6</v>
      </c>
      <c r="B60" s="10" t="s">
        <v>179</v>
      </c>
      <c r="C60" s="10" t="s">
        <v>180</v>
      </c>
      <c r="D60" s="10" t="n">
        <v>2022</v>
      </c>
      <c r="E60" s="10" t="s">
        <v>166</v>
      </c>
      <c r="F60" s="10" t="s">
        <v>181</v>
      </c>
      <c r="G60" s="10" t="s">
        <v>25</v>
      </c>
      <c r="H60" s="10" t="n">
        <v>33</v>
      </c>
      <c r="I60" s="10" t="n">
        <v>6.6</v>
      </c>
    </row>
    <row r="61" customFormat="false" ht="39" hidden="false" customHeight="true" outlineLevel="0" collapsed="false">
      <c r="A61" s="9" t="s">
        <v>6</v>
      </c>
      <c r="B61" s="9" t="s">
        <v>182</v>
      </c>
      <c r="C61" s="9" t="s">
        <v>183</v>
      </c>
      <c r="D61" s="9" t="n">
        <v>2021</v>
      </c>
      <c r="E61" s="9" t="s">
        <v>184</v>
      </c>
      <c r="F61" s="9" t="s">
        <v>185</v>
      </c>
      <c r="G61" s="9" t="s">
        <v>25</v>
      </c>
      <c r="H61" s="9" t="n">
        <v>37</v>
      </c>
      <c r="I61" s="9" t="n">
        <v>6.17</v>
      </c>
    </row>
    <row r="62" customFormat="false" ht="51.75" hidden="false" customHeight="true" outlineLevel="0" collapsed="false">
      <c r="A62" s="10" t="s">
        <v>6</v>
      </c>
      <c r="B62" s="10" t="s">
        <v>186</v>
      </c>
      <c r="C62" s="10" t="s">
        <v>187</v>
      </c>
      <c r="D62" s="10" t="n">
        <v>2026</v>
      </c>
      <c r="E62" s="10" t="s">
        <v>188</v>
      </c>
      <c r="F62" s="10" t="s">
        <v>189</v>
      </c>
      <c r="G62" s="10" t="s">
        <v>25</v>
      </c>
      <c r="H62" s="10" t="n">
        <v>6</v>
      </c>
      <c r="I62" s="10" t="n">
        <v>6</v>
      </c>
    </row>
    <row r="63" customFormat="false" ht="39" hidden="false" customHeight="true" outlineLevel="0" collapsed="false">
      <c r="A63" s="9" t="s">
        <v>6</v>
      </c>
      <c r="B63" s="9" t="s">
        <v>190</v>
      </c>
      <c r="C63" s="9" t="s">
        <v>191</v>
      </c>
      <c r="D63" s="9" t="n">
        <v>2025</v>
      </c>
      <c r="E63" s="9" t="s">
        <v>192</v>
      </c>
      <c r="F63" s="9" t="s">
        <v>193</v>
      </c>
      <c r="G63" s="9" t="s">
        <v>25</v>
      </c>
      <c r="H63" s="9" t="n">
        <v>12</v>
      </c>
      <c r="I63" s="9" t="n">
        <v>6</v>
      </c>
    </row>
    <row r="64" customFormat="false" ht="51.75" hidden="false" customHeight="true" outlineLevel="0" collapsed="false">
      <c r="A64" s="10" t="s">
        <v>6</v>
      </c>
      <c r="B64" s="10" t="s">
        <v>194</v>
      </c>
      <c r="C64" s="10" t="s">
        <v>195</v>
      </c>
      <c r="D64" s="10" t="n">
        <v>2024</v>
      </c>
      <c r="E64" s="10" t="s">
        <v>166</v>
      </c>
      <c r="F64" s="10" t="s">
        <v>196</v>
      </c>
      <c r="G64" s="10" t="s">
        <v>25</v>
      </c>
      <c r="H64" s="10" t="n">
        <v>18</v>
      </c>
      <c r="I64" s="10" t="n">
        <v>6</v>
      </c>
    </row>
    <row r="65" customFormat="false" ht="25.5" hidden="false" customHeight="true" outlineLevel="0" collapsed="false">
      <c r="A65" s="9" t="s">
        <v>6</v>
      </c>
      <c r="B65" s="9" t="s">
        <v>197</v>
      </c>
      <c r="C65" s="9" t="s">
        <v>198</v>
      </c>
      <c r="D65" s="9" t="n">
        <v>2022</v>
      </c>
      <c r="E65" s="9" t="s">
        <v>32</v>
      </c>
      <c r="F65" s="9" t="s">
        <v>199</v>
      </c>
      <c r="G65" s="9" t="s">
        <v>25</v>
      </c>
      <c r="H65" s="9" t="n">
        <v>29</v>
      </c>
      <c r="I65" s="9" t="n">
        <v>5.8</v>
      </c>
    </row>
    <row r="66" customFormat="false" ht="39" hidden="false" customHeight="true" outlineLevel="0" collapsed="false">
      <c r="A66" s="10" t="s">
        <v>6</v>
      </c>
      <c r="B66" s="10" t="s">
        <v>200</v>
      </c>
      <c r="C66" s="10" t="s">
        <v>183</v>
      </c>
      <c r="D66" s="10" t="n">
        <v>2021</v>
      </c>
      <c r="E66" s="10" t="s">
        <v>66</v>
      </c>
      <c r="F66" s="10" t="s">
        <v>201</v>
      </c>
      <c r="G66" s="10" t="s">
        <v>25</v>
      </c>
      <c r="H66" s="10" t="n">
        <v>31</v>
      </c>
      <c r="I66" s="10" t="n">
        <v>5.17</v>
      </c>
    </row>
    <row r="67" customFormat="false" ht="39" hidden="false" customHeight="true" outlineLevel="0" collapsed="false">
      <c r="A67" s="10" t="s">
        <v>6</v>
      </c>
      <c r="B67" s="10" t="s">
        <v>202</v>
      </c>
      <c r="C67" s="10" t="s">
        <v>203</v>
      </c>
      <c r="D67" s="10" t="n">
        <v>2023</v>
      </c>
      <c r="E67" s="10" t="s">
        <v>204</v>
      </c>
      <c r="F67" s="10" t="s">
        <v>205</v>
      </c>
      <c r="G67" s="10" t="s">
        <v>25</v>
      </c>
      <c r="H67" s="10" t="n">
        <v>20</v>
      </c>
      <c r="I67" s="10" t="n">
        <v>5</v>
      </c>
    </row>
    <row r="68" customFormat="false" ht="25.5" hidden="false" customHeight="true" outlineLevel="0" collapsed="false">
      <c r="A68" s="10" t="s">
        <v>6</v>
      </c>
      <c r="B68" s="10" t="s">
        <v>206</v>
      </c>
      <c r="C68" s="10" t="s">
        <v>207</v>
      </c>
      <c r="D68" s="10" t="n">
        <v>2023</v>
      </c>
      <c r="E68" s="10" t="s">
        <v>208</v>
      </c>
      <c r="F68" s="10" t="s">
        <v>209</v>
      </c>
      <c r="G68" s="10" t="s">
        <v>25</v>
      </c>
      <c r="H68" s="10" t="n">
        <v>18</v>
      </c>
      <c r="I68" s="10" t="n">
        <v>4.5</v>
      </c>
    </row>
    <row r="69" customFormat="false" ht="51.75" hidden="false" customHeight="true" outlineLevel="0" collapsed="false">
      <c r="A69" s="9" t="s">
        <v>7</v>
      </c>
      <c r="B69" s="9" t="s">
        <v>210</v>
      </c>
      <c r="C69" s="9" t="s">
        <v>211</v>
      </c>
      <c r="D69" s="9" t="n">
        <v>2025</v>
      </c>
      <c r="E69" s="9" t="s">
        <v>159</v>
      </c>
      <c r="F69" s="9" t="s">
        <v>212</v>
      </c>
      <c r="G69" s="9" t="s">
        <v>25</v>
      </c>
      <c r="H69" s="9" t="n">
        <v>43</v>
      </c>
      <c r="I69" s="9" t="n">
        <v>21.5</v>
      </c>
    </row>
    <row r="70" customFormat="false" ht="39" hidden="false" customHeight="true" outlineLevel="0" collapsed="false">
      <c r="A70" s="10" t="s">
        <v>7</v>
      </c>
      <c r="B70" s="10" t="s">
        <v>213</v>
      </c>
      <c r="C70" s="10" t="s">
        <v>214</v>
      </c>
      <c r="D70" s="10" t="n">
        <v>2024</v>
      </c>
      <c r="E70" s="10" t="s">
        <v>215</v>
      </c>
      <c r="F70" s="10" t="s">
        <v>216</v>
      </c>
      <c r="G70" s="10" t="s">
        <v>25</v>
      </c>
      <c r="H70" s="10" t="n">
        <v>31</v>
      </c>
      <c r="I70" s="10" t="n">
        <v>10.33</v>
      </c>
    </row>
    <row r="71" customFormat="false" ht="39" hidden="false" customHeight="true" outlineLevel="0" collapsed="false">
      <c r="A71" s="9" t="s">
        <v>7</v>
      </c>
      <c r="B71" s="9" t="s">
        <v>217</v>
      </c>
      <c r="C71" s="9" t="s">
        <v>218</v>
      </c>
      <c r="D71" s="9" t="n">
        <v>2025</v>
      </c>
      <c r="E71" s="9" t="s">
        <v>215</v>
      </c>
      <c r="F71" s="9" t="s">
        <v>219</v>
      </c>
      <c r="G71" s="9" t="s">
        <v>25</v>
      </c>
      <c r="H71" s="9" t="n">
        <v>7</v>
      </c>
      <c r="I71" s="9" t="n">
        <v>3.5</v>
      </c>
    </row>
    <row r="72" customFormat="false" ht="51.75" hidden="false" customHeight="true" outlineLevel="0" collapsed="false">
      <c r="A72" s="10" t="s">
        <v>7</v>
      </c>
      <c r="B72" s="10" t="s">
        <v>220</v>
      </c>
      <c r="C72" s="10" t="s">
        <v>221</v>
      </c>
      <c r="D72" s="10" t="n">
        <v>2020</v>
      </c>
      <c r="E72" s="10" t="s">
        <v>155</v>
      </c>
      <c r="F72" s="10" t="s">
        <v>222</v>
      </c>
      <c r="G72" s="10" t="s">
        <v>25</v>
      </c>
      <c r="H72" s="10" t="n">
        <v>18</v>
      </c>
      <c r="I72" s="10" t="n">
        <v>2.57</v>
      </c>
    </row>
    <row r="73" customFormat="false" ht="64.5" hidden="false" customHeight="true" outlineLevel="0" collapsed="false">
      <c r="A73" s="9" t="s">
        <v>7</v>
      </c>
      <c r="B73" s="9" t="s">
        <v>223</v>
      </c>
      <c r="C73" s="9" t="s">
        <v>224</v>
      </c>
      <c r="D73" s="9" t="n">
        <v>2019</v>
      </c>
      <c r="E73" s="9" t="s">
        <v>54</v>
      </c>
      <c r="F73" s="9" t="s">
        <v>225</v>
      </c>
      <c r="G73" s="9" t="s">
        <v>25</v>
      </c>
      <c r="H73" s="9" t="n">
        <v>17</v>
      </c>
      <c r="I73" s="9" t="n">
        <v>2.12</v>
      </c>
    </row>
    <row r="74" customFormat="false" ht="39" hidden="false" customHeight="true" outlineLevel="0" collapsed="false">
      <c r="A74" s="10" t="s">
        <v>7</v>
      </c>
      <c r="B74" s="10" t="s">
        <v>226</v>
      </c>
      <c r="C74" s="10" t="s">
        <v>227</v>
      </c>
      <c r="D74" s="10" t="n">
        <v>2022</v>
      </c>
      <c r="E74" s="10" t="s">
        <v>81</v>
      </c>
      <c r="F74" s="10" t="s">
        <v>228</v>
      </c>
      <c r="G74" s="10" t="s">
        <v>25</v>
      </c>
      <c r="H74" s="10" t="n">
        <v>8</v>
      </c>
      <c r="I74" s="10" t="n">
        <v>1.6</v>
      </c>
    </row>
    <row r="75" customFormat="false" ht="39" hidden="false" customHeight="true" outlineLevel="0" collapsed="false">
      <c r="A75" s="9" t="s">
        <v>7</v>
      </c>
      <c r="B75" s="9" t="s">
        <v>229</v>
      </c>
      <c r="C75" s="9" t="s">
        <v>230</v>
      </c>
      <c r="D75" s="9" t="n">
        <v>2022</v>
      </c>
      <c r="E75" s="9" t="s">
        <v>231</v>
      </c>
      <c r="F75" s="9" t="s">
        <v>232</v>
      </c>
      <c r="G75" s="9" t="s">
        <v>25</v>
      </c>
      <c r="H75" s="9" t="n">
        <v>8</v>
      </c>
      <c r="I75" s="9" t="n">
        <v>1.6</v>
      </c>
    </row>
    <row r="76" customFormat="false" ht="39" hidden="false" customHeight="true" outlineLevel="0" collapsed="false">
      <c r="A76" s="10" t="s">
        <v>7</v>
      </c>
      <c r="B76" s="10" t="s">
        <v>233</v>
      </c>
      <c r="C76" s="10" t="s">
        <v>234</v>
      </c>
      <c r="D76" s="10" t="n">
        <v>2025</v>
      </c>
      <c r="E76" s="10" t="s">
        <v>235</v>
      </c>
      <c r="F76" s="10" t="s">
        <v>236</v>
      </c>
      <c r="G76" s="10" t="s">
        <v>25</v>
      </c>
      <c r="H76" s="10" t="n">
        <v>2</v>
      </c>
      <c r="I76" s="10" t="n">
        <v>1</v>
      </c>
    </row>
    <row r="77" customFormat="false" ht="64.5" hidden="false" customHeight="true" outlineLevel="0" collapsed="false">
      <c r="A77" s="9" t="s">
        <v>7</v>
      </c>
      <c r="B77" s="9" t="s">
        <v>237</v>
      </c>
      <c r="C77" s="9" t="s">
        <v>238</v>
      </c>
      <c r="D77" s="9" t="n">
        <v>2024</v>
      </c>
      <c r="E77" s="9" t="s">
        <v>239</v>
      </c>
      <c r="F77" s="9" t="s">
        <v>240</v>
      </c>
      <c r="G77" s="9" t="s">
        <v>25</v>
      </c>
      <c r="H77" s="9" t="n">
        <v>3</v>
      </c>
      <c r="I77" s="9" t="n">
        <v>1</v>
      </c>
    </row>
    <row r="78" customFormat="false" ht="64.5" hidden="false" customHeight="true" outlineLevel="0" collapsed="false">
      <c r="A78" s="10" t="s">
        <v>7</v>
      </c>
      <c r="B78" s="10" t="s">
        <v>241</v>
      </c>
      <c r="C78" s="10" t="s">
        <v>242</v>
      </c>
      <c r="D78" s="10" t="n">
        <v>2021</v>
      </c>
      <c r="E78" s="10" t="s">
        <v>166</v>
      </c>
      <c r="F78" s="10" t="s">
        <v>243</v>
      </c>
      <c r="G78" s="10" t="s">
        <v>25</v>
      </c>
      <c r="H78" s="10" t="n">
        <v>6</v>
      </c>
      <c r="I78" s="10" t="n">
        <v>1</v>
      </c>
    </row>
    <row r="79" customFormat="false" ht="39" hidden="false" customHeight="true" outlineLevel="0" collapsed="false">
      <c r="A79" s="9" t="s">
        <v>7</v>
      </c>
      <c r="B79" s="9" t="s">
        <v>244</v>
      </c>
      <c r="C79" s="9" t="s">
        <v>245</v>
      </c>
      <c r="D79" s="9" t="n">
        <v>2025</v>
      </c>
      <c r="E79" s="9" t="s">
        <v>246</v>
      </c>
      <c r="F79" s="9" t="s">
        <v>247</v>
      </c>
      <c r="G79" s="9" t="s">
        <v>25</v>
      </c>
      <c r="H79" s="9" t="n">
        <v>1</v>
      </c>
      <c r="I79" s="9" t="n">
        <v>0.5</v>
      </c>
    </row>
    <row r="80" customFormat="false" ht="39" hidden="false" customHeight="true" outlineLevel="0" collapsed="false">
      <c r="A80" s="10" t="s">
        <v>7</v>
      </c>
      <c r="B80" s="10" t="s">
        <v>248</v>
      </c>
      <c r="C80" s="10" t="s">
        <v>249</v>
      </c>
      <c r="D80" s="10" t="n">
        <v>2025</v>
      </c>
      <c r="E80" s="10" t="s">
        <v>250</v>
      </c>
      <c r="F80" s="10" t="s">
        <v>251</v>
      </c>
      <c r="G80" s="10" t="s">
        <v>25</v>
      </c>
      <c r="H80" s="10" t="n">
        <v>1</v>
      </c>
      <c r="I80" s="10" t="n">
        <v>0.5</v>
      </c>
    </row>
    <row r="81" customFormat="false" ht="51.75" hidden="false" customHeight="true" outlineLevel="0" collapsed="false">
      <c r="A81" s="9" t="s">
        <v>7</v>
      </c>
      <c r="B81" s="9" t="s">
        <v>252</v>
      </c>
      <c r="C81" s="9" t="s">
        <v>253</v>
      </c>
      <c r="D81" s="9" t="n">
        <v>2023</v>
      </c>
      <c r="E81" s="9" t="s">
        <v>254</v>
      </c>
      <c r="F81" s="9" t="s">
        <v>255</v>
      </c>
      <c r="G81" s="9" t="s">
        <v>25</v>
      </c>
      <c r="H81" s="9" t="n">
        <v>2</v>
      </c>
      <c r="I81" s="9" t="n">
        <v>0.5</v>
      </c>
    </row>
    <row r="82" customFormat="false" ht="25.5" hidden="false" customHeight="true" outlineLevel="0" collapsed="false">
      <c r="A82" s="10" t="s">
        <v>7</v>
      </c>
      <c r="B82" s="10" t="s">
        <v>256</v>
      </c>
      <c r="C82" s="10" t="s">
        <v>257</v>
      </c>
      <c r="D82" s="10" t="n">
        <v>2017</v>
      </c>
      <c r="E82" s="10" t="s">
        <v>258</v>
      </c>
      <c r="F82" s="10" t="s">
        <v>259</v>
      </c>
      <c r="G82" s="10" t="s">
        <v>25</v>
      </c>
      <c r="H82" s="10" t="n">
        <v>3</v>
      </c>
      <c r="I82" s="10" t="n">
        <v>0.3</v>
      </c>
    </row>
    <row r="83" customFormat="false" ht="51.75" hidden="false" customHeight="true" outlineLevel="0" collapsed="false">
      <c r="A83" s="9" t="s">
        <v>7</v>
      </c>
      <c r="B83" s="9" t="s">
        <v>260</v>
      </c>
      <c r="C83" s="9" t="s">
        <v>261</v>
      </c>
      <c r="D83" s="9" t="n">
        <v>2020</v>
      </c>
      <c r="E83" s="9" t="s">
        <v>262</v>
      </c>
      <c r="F83" s="9"/>
      <c r="G83" s="9" t="s">
        <v>25</v>
      </c>
      <c r="H83" s="9" t="n">
        <v>2</v>
      </c>
      <c r="I83" s="9" t="n">
        <v>0.29</v>
      </c>
    </row>
    <row r="84" customFormat="false" ht="78" hidden="false" customHeight="true" outlineLevel="0" collapsed="false">
      <c r="A84" s="10" t="s">
        <v>8</v>
      </c>
      <c r="B84" s="10" t="s">
        <v>263</v>
      </c>
      <c r="C84" s="10" t="s">
        <v>264</v>
      </c>
      <c r="D84" s="10" t="n">
        <v>2019</v>
      </c>
      <c r="E84" s="10" t="s">
        <v>32</v>
      </c>
      <c r="F84" s="10" t="s">
        <v>265</v>
      </c>
      <c r="G84" s="10" t="s">
        <v>25</v>
      </c>
      <c r="H84" s="10" t="n">
        <v>60</v>
      </c>
      <c r="I84" s="10" t="n">
        <v>7.5</v>
      </c>
    </row>
    <row r="85" customFormat="false" ht="117" hidden="false" customHeight="true" outlineLevel="0" collapsed="false">
      <c r="A85" s="9" t="s">
        <v>8</v>
      </c>
      <c r="B85" s="9" t="s">
        <v>266</v>
      </c>
      <c r="C85" s="9" t="s">
        <v>267</v>
      </c>
      <c r="D85" s="9" t="n">
        <v>2017</v>
      </c>
      <c r="E85" s="9" t="s">
        <v>268</v>
      </c>
      <c r="F85" s="9" t="s">
        <v>269</v>
      </c>
      <c r="G85" s="9" t="s">
        <v>25</v>
      </c>
      <c r="H85" s="9" t="n">
        <v>21</v>
      </c>
      <c r="I85" s="9" t="n">
        <v>2.1</v>
      </c>
    </row>
    <row r="86" customFormat="false" ht="39" hidden="false" customHeight="true" outlineLevel="0" collapsed="false">
      <c r="A86" s="10" t="s">
        <v>8</v>
      </c>
      <c r="B86" s="10" t="s">
        <v>270</v>
      </c>
      <c r="C86" s="10" t="s">
        <v>271</v>
      </c>
      <c r="D86" s="10" t="n">
        <v>2025</v>
      </c>
      <c r="E86" s="10" t="s">
        <v>272</v>
      </c>
      <c r="F86" s="10" t="s">
        <v>273</v>
      </c>
      <c r="G86" s="10" t="s">
        <v>25</v>
      </c>
      <c r="H86" s="10" t="n">
        <v>4</v>
      </c>
      <c r="I86" s="10" t="n">
        <v>2</v>
      </c>
    </row>
    <row r="87" customFormat="false" ht="51.75" hidden="false" customHeight="true" outlineLevel="0" collapsed="false">
      <c r="A87" s="9" t="s">
        <v>8</v>
      </c>
      <c r="B87" s="9" t="s">
        <v>274</v>
      </c>
      <c r="C87" s="9" t="s">
        <v>275</v>
      </c>
      <c r="D87" s="9" t="n">
        <v>2025</v>
      </c>
      <c r="E87" s="9" t="s">
        <v>276</v>
      </c>
      <c r="F87" s="9" t="s">
        <v>277</v>
      </c>
      <c r="G87" s="9" t="s">
        <v>25</v>
      </c>
      <c r="H87" s="9" t="n">
        <v>4</v>
      </c>
      <c r="I87" s="9" t="n">
        <v>2</v>
      </c>
    </row>
    <row r="88" customFormat="false" ht="39" hidden="false" customHeight="true" outlineLevel="0" collapsed="false">
      <c r="A88" s="10" t="s">
        <v>8</v>
      </c>
      <c r="B88" s="10" t="s">
        <v>278</v>
      </c>
      <c r="C88" s="10" t="s">
        <v>279</v>
      </c>
      <c r="D88" s="10" t="n">
        <v>2017</v>
      </c>
      <c r="E88" s="10" t="s">
        <v>280</v>
      </c>
      <c r="F88" s="10" t="s">
        <v>281</v>
      </c>
      <c r="G88" s="10" t="s">
        <v>25</v>
      </c>
      <c r="H88" s="10" t="n">
        <v>18</v>
      </c>
      <c r="I88" s="10" t="n">
        <v>1.8</v>
      </c>
    </row>
    <row r="89" customFormat="false" ht="64.5" hidden="false" customHeight="true" outlineLevel="0" collapsed="false">
      <c r="A89" s="9" t="s">
        <v>8</v>
      </c>
      <c r="B89" s="9" t="s">
        <v>282</v>
      </c>
      <c r="C89" s="9" t="s">
        <v>283</v>
      </c>
      <c r="D89" s="9" t="n">
        <v>2022</v>
      </c>
      <c r="E89" s="9" t="s">
        <v>284</v>
      </c>
      <c r="F89" s="9" t="s">
        <v>285</v>
      </c>
      <c r="G89" s="9" t="s">
        <v>25</v>
      </c>
      <c r="H89" s="9" t="n">
        <v>9</v>
      </c>
      <c r="I89" s="9" t="n">
        <v>1.8</v>
      </c>
    </row>
    <row r="90" customFormat="false" ht="51.75" hidden="false" customHeight="true" outlineLevel="0" collapsed="false">
      <c r="A90" s="10" t="s">
        <v>8</v>
      </c>
      <c r="B90" s="10" t="s">
        <v>286</v>
      </c>
      <c r="C90" s="10" t="s">
        <v>287</v>
      </c>
      <c r="D90" s="10" t="n">
        <v>2023</v>
      </c>
      <c r="E90" s="10" t="s">
        <v>288</v>
      </c>
      <c r="F90" s="10" t="s">
        <v>289</v>
      </c>
      <c r="G90" s="10" t="s">
        <v>25</v>
      </c>
      <c r="H90" s="10" t="n">
        <v>6</v>
      </c>
      <c r="I90" s="10" t="n">
        <v>1.5</v>
      </c>
    </row>
    <row r="91" customFormat="false" ht="39" hidden="false" customHeight="true" outlineLevel="0" collapsed="false">
      <c r="A91" s="9" t="s">
        <v>8</v>
      </c>
      <c r="B91" s="9" t="s">
        <v>290</v>
      </c>
      <c r="C91" s="9" t="s">
        <v>291</v>
      </c>
      <c r="D91" s="9" t="n">
        <v>2024</v>
      </c>
      <c r="E91" s="9" t="s">
        <v>123</v>
      </c>
      <c r="F91" s="9" t="s">
        <v>292</v>
      </c>
      <c r="G91" s="9" t="s">
        <v>25</v>
      </c>
      <c r="H91" s="9" t="n">
        <v>3</v>
      </c>
      <c r="I91" s="9" t="n">
        <v>1</v>
      </c>
    </row>
    <row r="92" customFormat="false" ht="39" hidden="false" customHeight="true" outlineLevel="0" collapsed="false">
      <c r="A92" s="10" t="s">
        <v>8</v>
      </c>
      <c r="B92" s="10" t="s">
        <v>293</v>
      </c>
      <c r="C92" s="10" t="s">
        <v>267</v>
      </c>
      <c r="D92" s="10" t="n">
        <v>2016</v>
      </c>
      <c r="E92" s="10" t="s">
        <v>103</v>
      </c>
      <c r="F92" s="10"/>
      <c r="G92" s="10" t="s">
        <v>25</v>
      </c>
      <c r="H92" s="10" t="n">
        <v>11</v>
      </c>
      <c r="I92" s="10" t="n">
        <v>1</v>
      </c>
    </row>
    <row r="93" customFormat="false" ht="39" hidden="false" customHeight="true" outlineLevel="0" collapsed="false">
      <c r="A93" s="9" t="s">
        <v>8</v>
      </c>
      <c r="B93" s="9" t="s">
        <v>294</v>
      </c>
      <c r="C93" s="9" t="s">
        <v>295</v>
      </c>
      <c r="D93" s="9" t="n">
        <v>2019</v>
      </c>
      <c r="E93" s="9" t="s">
        <v>296</v>
      </c>
      <c r="F93" s="9" t="s">
        <v>297</v>
      </c>
      <c r="G93" s="9" t="s">
        <v>25</v>
      </c>
      <c r="H93" s="9" t="n">
        <v>4</v>
      </c>
      <c r="I93" s="9" t="n">
        <v>0.5</v>
      </c>
    </row>
    <row r="94" customFormat="false" ht="39" hidden="false" customHeight="true" outlineLevel="0" collapsed="false">
      <c r="A94" s="10" t="s">
        <v>8</v>
      </c>
      <c r="B94" s="10" t="s">
        <v>298</v>
      </c>
      <c r="C94" s="10" t="s">
        <v>299</v>
      </c>
      <c r="D94" s="10" t="n">
        <v>2020</v>
      </c>
      <c r="E94" s="10" t="s">
        <v>300</v>
      </c>
      <c r="F94" s="10"/>
      <c r="G94" s="10" t="s">
        <v>25</v>
      </c>
      <c r="H94" s="10" t="n">
        <v>1</v>
      </c>
      <c r="I94" s="10" t="n">
        <v>0.14</v>
      </c>
    </row>
    <row r="95" customFormat="false" ht="25.5" hidden="false" customHeight="true" outlineLevel="0" collapsed="false">
      <c r="A95" s="9" t="s">
        <v>8</v>
      </c>
      <c r="B95" s="9" t="s">
        <v>301</v>
      </c>
      <c r="C95" s="9" t="s">
        <v>302</v>
      </c>
      <c r="D95" s="9" t="n">
        <v>2023</v>
      </c>
      <c r="E95" s="9" t="s">
        <v>155</v>
      </c>
      <c r="F95" s="9" t="s">
        <v>303</v>
      </c>
      <c r="G95" s="9" t="s">
        <v>25</v>
      </c>
      <c r="H95" s="9" t="n">
        <v>0</v>
      </c>
      <c r="I95" s="9" t="n">
        <v>0</v>
      </c>
    </row>
    <row r="96" customFormat="false" ht="39" hidden="false" customHeight="true" outlineLevel="0" collapsed="false">
      <c r="A96" s="10" t="s">
        <v>9</v>
      </c>
      <c r="B96" s="10" t="s">
        <v>304</v>
      </c>
      <c r="C96" s="10" t="s">
        <v>305</v>
      </c>
      <c r="D96" s="10" t="n">
        <v>2022</v>
      </c>
      <c r="E96" s="10" t="s">
        <v>306</v>
      </c>
      <c r="F96" s="10" t="s">
        <v>307</v>
      </c>
      <c r="G96" s="10" t="s">
        <v>25</v>
      </c>
      <c r="H96" s="10" t="n">
        <v>19</v>
      </c>
      <c r="I96" s="10" t="n">
        <v>3.8</v>
      </c>
    </row>
    <row r="97" customFormat="false" ht="39" hidden="false" customHeight="true" outlineLevel="0" collapsed="false">
      <c r="A97" s="9" t="s">
        <v>9</v>
      </c>
      <c r="B97" s="9" t="s">
        <v>308</v>
      </c>
      <c r="C97" s="9" t="s">
        <v>309</v>
      </c>
      <c r="D97" s="9" t="n">
        <v>2018</v>
      </c>
      <c r="E97" s="9" t="s">
        <v>306</v>
      </c>
      <c r="F97" s="9" t="s">
        <v>310</v>
      </c>
      <c r="G97" s="9" t="s">
        <v>25</v>
      </c>
      <c r="H97" s="9" t="n">
        <v>15</v>
      </c>
      <c r="I97" s="9" t="n">
        <v>1.67</v>
      </c>
    </row>
    <row r="98" customFormat="false" ht="39" hidden="false" customHeight="true" outlineLevel="0" collapsed="false">
      <c r="A98" s="10" t="s">
        <v>9</v>
      </c>
      <c r="B98" s="10" t="s">
        <v>311</v>
      </c>
      <c r="C98" s="10" t="s">
        <v>312</v>
      </c>
      <c r="D98" s="10" t="n">
        <v>2022</v>
      </c>
      <c r="E98" s="10" t="s">
        <v>306</v>
      </c>
      <c r="F98" s="10" t="s">
        <v>313</v>
      </c>
      <c r="G98" s="10" t="s">
        <v>25</v>
      </c>
      <c r="H98" s="10" t="n">
        <v>6</v>
      </c>
      <c r="I98" s="10" t="n">
        <v>1.2</v>
      </c>
    </row>
    <row r="99" customFormat="false" ht="39" hidden="false" customHeight="true" outlineLevel="0" collapsed="false">
      <c r="A99" s="9" t="s">
        <v>9</v>
      </c>
      <c r="B99" s="9" t="s">
        <v>314</v>
      </c>
      <c r="C99" s="9" t="s">
        <v>315</v>
      </c>
      <c r="D99" s="9" t="n">
        <v>2020</v>
      </c>
      <c r="E99" s="9" t="s">
        <v>300</v>
      </c>
      <c r="F99" s="9" t="s">
        <v>316</v>
      </c>
      <c r="G99" s="9" t="s">
        <v>25</v>
      </c>
      <c r="H99" s="9" t="n">
        <v>2</v>
      </c>
      <c r="I99" s="9" t="n">
        <v>0.29</v>
      </c>
    </row>
    <row r="100" customFormat="false" ht="51.75" hidden="false" customHeight="true" outlineLevel="0" collapsed="false">
      <c r="A100" s="10" t="s">
        <v>9</v>
      </c>
      <c r="B100" s="10" t="s">
        <v>317</v>
      </c>
      <c r="C100" s="10" t="s">
        <v>318</v>
      </c>
      <c r="D100" s="10" t="n">
        <v>2026</v>
      </c>
      <c r="E100" s="10" t="s">
        <v>306</v>
      </c>
      <c r="F100" s="10" t="s">
        <v>319</v>
      </c>
      <c r="G100" s="10" t="s">
        <v>25</v>
      </c>
      <c r="H100" s="10" t="n">
        <v>0</v>
      </c>
      <c r="I100" s="10" t="n">
        <v>0</v>
      </c>
    </row>
    <row r="101" customFormat="false" ht="25.5" hidden="false" customHeight="true" outlineLevel="0" collapsed="false">
      <c r="A101" s="9" t="s">
        <v>9</v>
      </c>
      <c r="B101" s="9" t="s">
        <v>320</v>
      </c>
      <c r="C101" s="9" t="s">
        <v>321</v>
      </c>
      <c r="D101" s="9" t="n">
        <v>2026</v>
      </c>
      <c r="E101" s="9" t="s">
        <v>322</v>
      </c>
      <c r="F101" s="9" t="s">
        <v>323</v>
      </c>
      <c r="G101" s="9" t="s">
        <v>25</v>
      </c>
      <c r="H101" s="9" t="n">
        <v>0</v>
      </c>
      <c r="I101" s="9" t="n">
        <v>0</v>
      </c>
    </row>
    <row r="102" customFormat="false" ht="39" hidden="false" customHeight="true" outlineLevel="0" collapsed="false">
      <c r="A102" s="10" t="s">
        <v>9</v>
      </c>
      <c r="B102" s="10" t="s">
        <v>324</v>
      </c>
      <c r="C102" s="10" t="s">
        <v>325</v>
      </c>
      <c r="D102" s="10" t="n">
        <v>2026</v>
      </c>
      <c r="E102" s="10" t="s">
        <v>326</v>
      </c>
      <c r="F102" s="10" t="s">
        <v>327</v>
      </c>
      <c r="G102" s="10" t="s">
        <v>25</v>
      </c>
      <c r="H102" s="10" t="n">
        <v>0</v>
      </c>
      <c r="I102" s="10" t="n">
        <v>0</v>
      </c>
    </row>
    <row r="103" customFormat="false" ht="39" hidden="false" customHeight="true" outlineLevel="0" collapsed="false">
      <c r="A103" s="9" t="s">
        <v>9</v>
      </c>
      <c r="B103" s="9" t="s">
        <v>328</v>
      </c>
      <c r="C103" s="9" t="s">
        <v>329</v>
      </c>
      <c r="D103" s="9" t="n">
        <v>2025</v>
      </c>
      <c r="E103" s="9" t="s">
        <v>276</v>
      </c>
      <c r="F103" s="9" t="s">
        <v>330</v>
      </c>
      <c r="G103" s="9" t="s">
        <v>25</v>
      </c>
      <c r="H103" s="9" t="n">
        <v>0</v>
      </c>
      <c r="I103" s="9" t="n">
        <v>0</v>
      </c>
    </row>
    <row r="104" customFormat="false" ht="39" hidden="false" customHeight="true" outlineLevel="0" collapsed="false">
      <c r="A104" s="10" t="s">
        <v>9</v>
      </c>
      <c r="B104" s="10" t="s">
        <v>331</v>
      </c>
      <c r="C104" s="10" t="s">
        <v>332</v>
      </c>
      <c r="D104" s="10" t="n">
        <v>2026</v>
      </c>
      <c r="E104" s="10" t="s">
        <v>333</v>
      </c>
      <c r="F104" s="10" t="s">
        <v>334</v>
      </c>
      <c r="G104" s="10" t="s">
        <v>335</v>
      </c>
      <c r="H104" s="10" t="n">
        <v>0</v>
      </c>
      <c r="I104" s="10" t="n">
        <v>0</v>
      </c>
    </row>
    <row r="105" customFormat="false" ht="39" hidden="false" customHeight="true" outlineLevel="0" collapsed="false">
      <c r="A105" s="9" t="s">
        <v>10</v>
      </c>
      <c r="B105" s="9" t="s">
        <v>336</v>
      </c>
      <c r="C105" s="9" t="s">
        <v>337</v>
      </c>
      <c r="D105" s="9" t="n">
        <v>2020</v>
      </c>
      <c r="E105" s="9" t="s">
        <v>338</v>
      </c>
      <c r="F105" s="9" t="s">
        <v>339</v>
      </c>
      <c r="G105" s="9" t="s">
        <v>25</v>
      </c>
      <c r="H105" s="9" t="n">
        <v>67</v>
      </c>
      <c r="I105" s="9" t="n">
        <v>9.57</v>
      </c>
    </row>
    <row r="106" customFormat="false" ht="39" hidden="false" customHeight="true" outlineLevel="0" collapsed="false">
      <c r="A106" s="10" t="s">
        <v>10</v>
      </c>
      <c r="B106" s="10" t="s">
        <v>340</v>
      </c>
      <c r="C106" s="10" t="s">
        <v>341</v>
      </c>
      <c r="D106" s="10" t="n">
        <v>2023</v>
      </c>
      <c r="E106" s="10" t="s">
        <v>342</v>
      </c>
      <c r="F106" s="10" t="s">
        <v>343</v>
      </c>
      <c r="G106" s="10" t="s">
        <v>25</v>
      </c>
      <c r="H106" s="10" t="n">
        <v>3</v>
      </c>
      <c r="I106" s="10" t="n">
        <v>0.75</v>
      </c>
    </row>
    <row r="107" customFormat="false" ht="51.75" hidden="false" customHeight="true" outlineLevel="0" collapsed="false">
      <c r="A107" s="9" t="s">
        <v>10</v>
      </c>
      <c r="B107" s="9" t="s">
        <v>344</v>
      </c>
      <c r="C107" s="9" t="s">
        <v>345</v>
      </c>
      <c r="D107" s="9" t="n">
        <v>2021</v>
      </c>
      <c r="E107" s="9" t="s">
        <v>346</v>
      </c>
      <c r="F107" s="9" t="s">
        <v>347</v>
      </c>
      <c r="G107" s="9" t="s">
        <v>335</v>
      </c>
      <c r="H107" s="9" t="n">
        <v>20</v>
      </c>
      <c r="I107" s="9" t="n">
        <v>3.33</v>
      </c>
    </row>
    <row r="108" customFormat="false" ht="25.5" hidden="false" customHeight="true" outlineLevel="0" collapsed="false">
      <c r="A108" s="10" t="s">
        <v>10</v>
      </c>
      <c r="B108" s="10" t="s">
        <v>348</v>
      </c>
      <c r="C108" s="10" t="s">
        <v>349</v>
      </c>
      <c r="D108" s="10" t="n">
        <v>2017</v>
      </c>
      <c r="E108" s="10" t="s">
        <v>350</v>
      </c>
      <c r="F108" s="10"/>
      <c r="G108" s="10" t="s">
        <v>335</v>
      </c>
      <c r="H108" s="10" t="n">
        <v>7</v>
      </c>
      <c r="I108" s="10" t="n">
        <v>0.7</v>
      </c>
    </row>
    <row r="109" customFormat="false" ht="25.5" hidden="false" customHeight="true" outlineLevel="0" collapsed="false">
      <c r="A109" s="9" t="s">
        <v>10</v>
      </c>
      <c r="B109" s="9" t="s">
        <v>351</v>
      </c>
      <c r="C109" s="9" t="s">
        <v>352</v>
      </c>
      <c r="D109" s="9" t="n">
        <v>2022</v>
      </c>
      <c r="E109" s="9" t="s">
        <v>353</v>
      </c>
      <c r="F109" s="9" t="s">
        <v>354</v>
      </c>
      <c r="G109" s="9" t="s">
        <v>335</v>
      </c>
      <c r="H109" s="9" t="n">
        <v>0</v>
      </c>
      <c r="I109" s="9" t="n">
        <v>0</v>
      </c>
    </row>
    <row r="110" customFormat="false" ht="39" hidden="false" customHeight="true" outlineLevel="0" collapsed="false">
      <c r="A110" s="10" t="s">
        <v>11</v>
      </c>
      <c r="B110" s="10" t="s">
        <v>355</v>
      </c>
      <c r="C110" s="10" t="s">
        <v>356</v>
      </c>
      <c r="D110" s="10" t="n">
        <v>2020</v>
      </c>
      <c r="E110" s="10" t="s">
        <v>357</v>
      </c>
      <c r="F110" s="10" t="s">
        <v>358</v>
      </c>
      <c r="G110" s="10" t="s">
        <v>25</v>
      </c>
      <c r="H110" s="10" t="n">
        <v>61</v>
      </c>
      <c r="I110" s="10" t="n">
        <v>8.71</v>
      </c>
    </row>
    <row r="111" customFormat="false" ht="39" hidden="false" customHeight="true" outlineLevel="0" collapsed="false">
      <c r="A111" s="9" t="s">
        <v>11</v>
      </c>
      <c r="B111" s="9" t="s">
        <v>359</v>
      </c>
      <c r="C111" s="9" t="s">
        <v>360</v>
      </c>
      <c r="D111" s="9" t="n">
        <v>2024</v>
      </c>
      <c r="E111" s="9" t="s">
        <v>254</v>
      </c>
      <c r="F111" s="9" t="s">
        <v>361</v>
      </c>
      <c r="G111" s="9" t="s">
        <v>25</v>
      </c>
      <c r="H111" s="9" t="n">
        <v>13</v>
      </c>
      <c r="I111" s="9" t="n">
        <v>4.33</v>
      </c>
    </row>
    <row r="112" customFormat="false" ht="39" hidden="false" customHeight="true" outlineLevel="0" collapsed="false">
      <c r="A112" s="10" t="s">
        <v>11</v>
      </c>
      <c r="B112" s="10" t="s">
        <v>362</v>
      </c>
      <c r="C112" s="10" t="s">
        <v>363</v>
      </c>
      <c r="D112" s="10" t="n">
        <v>2017</v>
      </c>
      <c r="E112" s="10" t="s">
        <v>364</v>
      </c>
      <c r="F112" s="10" t="s">
        <v>365</v>
      </c>
      <c r="G112" s="10" t="s">
        <v>25</v>
      </c>
      <c r="H112" s="10" t="n">
        <v>10</v>
      </c>
      <c r="I112" s="10" t="n">
        <v>1</v>
      </c>
    </row>
    <row r="113" customFormat="false" ht="39" hidden="false" customHeight="true" outlineLevel="0" collapsed="false">
      <c r="A113" s="9" t="s">
        <v>11</v>
      </c>
      <c r="B113" s="9" t="s">
        <v>366</v>
      </c>
      <c r="C113" s="9" t="s">
        <v>367</v>
      </c>
      <c r="D113" s="9" t="n">
        <v>2024</v>
      </c>
      <c r="E113" s="9" t="s">
        <v>368</v>
      </c>
      <c r="F113" s="9" t="s">
        <v>369</v>
      </c>
      <c r="G113" s="9" t="s">
        <v>25</v>
      </c>
      <c r="H113" s="9" t="n">
        <v>1</v>
      </c>
      <c r="I113" s="9" t="n">
        <v>0.33</v>
      </c>
    </row>
    <row r="114" customFormat="false" ht="51.75" hidden="false" customHeight="true" outlineLevel="0" collapsed="false">
      <c r="A114" s="10" t="s">
        <v>11</v>
      </c>
      <c r="B114" s="10" t="s">
        <v>370</v>
      </c>
      <c r="C114" s="10" t="s">
        <v>371</v>
      </c>
      <c r="D114" s="10" t="n">
        <v>2022</v>
      </c>
      <c r="E114" s="10" t="s">
        <v>372</v>
      </c>
      <c r="F114" s="10" t="s">
        <v>373</v>
      </c>
      <c r="G114" s="10" t="s">
        <v>25</v>
      </c>
      <c r="H114" s="10" t="n">
        <v>1</v>
      </c>
      <c r="I114" s="10" t="n">
        <v>0.2</v>
      </c>
    </row>
    <row r="115" customFormat="false" ht="51.75" hidden="false" customHeight="true" outlineLevel="0" collapsed="false">
      <c r="A115" s="9" t="s">
        <v>11</v>
      </c>
      <c r="B115" s="9" t="s">
        <v>374</v>
      </c>
      <c r="C115" s="9" t="s">
        <v>375</v>
      </c>
      <c r="D115" s="9" t="n">
        <v>2025</v>
      </c>
      <c r="E115" s="9" t="s">
        <v>376</v>
      </c>
      <c r="F115" s="9" t="s">
        <v>377</v>
      </c>
      <c r="G115" s="9" t="s">
        <v>25</v>
      </c>
      <c r="H115" s="9" t="n">
        <v>0</v>
      </c>
      <c r="I115" s="9" t="n">
        <v>0</v>
      </c>
    </row>
    <row r="116" customFormat="false" ht="43.25" hidden="false" customHeight="false" outlineLevel="0" collapsed="false">
      <c r="A116" s="10" t="s">
        <v>11</v>
      </c>
      <c r="B116" s="10" t="s">
        <v>378</v>
      </c>
      <c r="C116" s="10" t="s">
        <v>379</v>
      </c>
      <c r="D116" s="10" t="n">
        <v>2025</v>
      </c>
      <c r="E116" s="10" t="s">
        <v>380</v>
      </c>
      <c r="F116" s="10" t="s">
        <v>381</v>
      </c>
      <c r="G116" s="10" t="s">
        <v>25</v>
      </c>
      <c r="H116" s="10" t="n">
        <v>0</v>
      </c>
      <c r="I116" s="10" t="n">
        <v>0</v>
      </c>
    </row>
    <row r="117" customFormat="false" ht="43.25" hidden="false" customHeight="false" outlineLevel="0" collapsed="false">
      <c r="A117" s="9" t="s">
        <v>11</v>
      </c>
      <c r="B117" s="9" t="s">
        <v>382</v>
      </c>
      <c r="C117" s="9" t="s">
        <v>383</v>
      </c>
      <c r="D117" s="9" t="n">
        <v>2020</v>
      </c>
      <c r="E117" s="9" t="s">
        <v>384</v>
      </c>
      <c r="F117" s="9" t="s">
        <v>385</v>
      </c>
      <c r="G117" s="9" t="s">
        <v>335</v>
      </c>
      <c r="H117" s="9" t="n">
        <v>0</v>
      </c>
      <c r="I117" s="9" t="n">
        <v>0</v>
      </c>
    </row>
  </sheetData>
  <mergeCells count="1">
    <mergeCell ref="A2:H2"/>
  </mergeCells>
  <printOptions headings="false" gridLines="false" gridLinesSet="true" horizontalCentered="false" verticalCentered="false"/>
  <pageMargins left="0.75" right="0.75" top="1" bottom="1"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17"/>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83203125" defaultRowHeight="15" customHeight="false" zeroHeight="false" outlineLevelRow="0" outlineLevelCol="0"/>
  <cols>
    <col collapsed="false" customWidth="true" hidden="false" outlineLevel="0" max="1" min="1" style="1" width="110"/>
  </cols>
  <sheetData>
    <row r="1" customFormat="false" ht="19.5" hidden="false" customHeight="true" outlineLevel="0" collapsed="false">
      <c r="A1" s="11" t="s">
        <v>386</v>
      </c>
    </row>
    <row r="3" customFormat="false" ht="15" hidden="false" customHeight="true" outlineLevel="0" collapsed="false">
      <c r="A3" s="12" t="s">
        <v>387</v>
      </c>
    </row>
    <row r="5" customFormat="false" ht="15.75" hidden="false" customHeight="true" outlineLevel="0" collapsed="false">
      <c r="A5" s="13" t="s">
        <v>388</v>
      </c>
    </row>
    <row r="6" customFormat="false" ht="30" hidden="false" customHeight="true" outlineLevel="0" collapsed="false">
      <c r="A6" s="14" t="s">
        <v>389</v>
      </c>
    </row>
    <row r="7" customFormat="false" ht="30" hidden="false" customHeight="true" outlineLevel="0" collapsed="false">
      <c r="A7" s="14" t="s">
        <v>390</v>
      </c>
    </row>
    <row r="8" customFormat="false" ht="30" hidden="false" customHeight="true" outlineLevel="0" collapsed="false">
      <c r="A8" s="14" t="s">
        <v>391</v>
      </c>
    </row>
    <row r="9" customFormat="false" ht="30" hidden="false" customHeight="true" outlineLevel="0" collapsed="false">
      <c r="A9" s="14" t="s">
        <v>392</v>
      </c>
    </row>
    <row r="10" customFormat="false" ht="6" hidden="false" customHeight="true" outlineLevel="0" collapsed="false">
      <c r="A10" s="14"/>
    </row>
    <row r="11" customFormat="false" ht="15.75" hidden="false" customHeight="true" outlineLevel="0" collapsed="false">
      <c r="A11" s="13" t="s">
        <v>393</v>
      </c>
    </row>
    <row r="12" customFormat="false" ht="30" hidden="false" customHeight="true" outlineLevel="0" collapsed="false">
      <c r="A12" s="14" t="s">
        <v>394</v>
      </c>
    </row>
    <row r="13" customFormat="false" ht="30" hidden="false" customHeight="true" outlineLevel="0" collapsed="false">
      <c r="A13" s="14" t="s">
        <v>395</v>
      </c>
    </row>
    <row r="14" customFormat="false" ht="30" hidden="false" customHeight="true" outlineLevel="0" collapsed="false">
      <c r="A14" s="14" t="s">
        <v>396</v>
      </c>
    </row>
    <row r="15" customFormat="false" ht="6" hidden="false" customHeight="true" outlineLevel="0" collapsed="false">
      <c r="A15" s="14"/>
    </row>
    <row r="16" customFormat="false" ht="15.75" hidden="false" customHeight="true" outlineLevel="0" collapsed="false">
      <c r="A16" s="13" t="s">
        <v>397</v>
      </c>
    </row>
    <row r="17" customFormat="false" ht="30" hidden="false" customHeight="true" outlineLevel="0" collapsed="false">
      <c r="A17" s="14" t="s">
        <v>398</v>
      </c>
    </row>
  </sheetData>
  <printOptions headings="false" gridLines="false" gridLinesSet="true" horizontalCentered="false" verticalCentered="false"/>
  <pageMargins left="0.75" right="0.75" top="1" bottom="1"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24"/>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83203125" defaultRowHeight="15" customHeight="false" zeroHeight="false" outlineLevelRow="0" outlineLevelCol="0"/>
  <cols>
    <col collapsed="false" customWidth="true" hidden="false" outlineLevel="0" max="1" min="1" style="1" width="8"/>
    <col collapsed="false" customWidth="true" hidden="false" outlineLevel="0" max="2" min="2" style="1" width="30"/>
    <col collapsed="false" customWidth="true" hidden="false" outlineLevel="0" max="3" min="3" style="1" width="10"/>
    <col collapsed="false" customWidth="true" hidden="false" outlineLevel="0" max="4" min="4" style="1" width="42"/>
    <col collapsed="false" customWidth="true" hidden="false" outlineLevel="0" max="5" min="5" style="1" width="34"/>
    <col collapsed="false" customWidth="true" hidden="false" outlineLevel="0" max="6" min="6" style="1" width="12"/>
    <col collapsed="false" customWidth="true" hidden="false" outlineLevel="0" max="7" min="7" style="1" width="10"/>
    <col collapsed="false" customWidth="true" hidden="false" outlineLevel="0" max="8" min="8" style="1" width="42"/>
  </cols>
  <sheetData>
    <row r="1" customFormat="false" ht="33.75" hidden="false" customHeight="true" outlineLevel="0" collapsed="false">
      <c r="A1" s="15" t="s">
        <v>399</v>
      </c>
      <c r="B1" s="15" t="s">
        <v>400</v>
      </c>
      <c r="C1" s="15" t="s">
        <v>401</v>
      </c>
      <c r="D1" s="15" t="s">
        <v>402</v>
      </c>
      <c r="E1" s="15" t="s">
        <v>403</v>
      </c>
      <c r="F1" s="15" t="s">
        <v>404</v>
      </c>
      <c r="G1" s="15" t="s">
        <v>405</v>
      </c>
      <c r="H1" s="15" t="s">
        <v>406</v>
      </c>
    </row>
    <row r="2" customFormat="false" ht="69.75" hidden="false" customHeight="true" outlineLevel="0" collapsed="false">
      <c r="A2" s="16" t="s">
        <v>407</v>
      </c>
      <c r="B2" s="16" t="s">
        <v>408</v>
      </c>
      <c r="C2" s="16" t="s">
        <v>409</v>
      </c>
      <c r="D2" s="16" t="s">
        <v>410</v>
      </c>
      <c r="E2" s="16" t="s">
        <v>411</v>
      </c>
      <c r="F2" s="17"/>
      <c r="G2" s="16" t="n">
        <v>316</v>
      </c>
      <c r="H2" s="16" t="s">
        <v>412</v>
      </c>
    </row>
    <row r="3" customFormat="false" ht="69.75" hidden="false" customHeight="true" outlineLevel="0" collapsed="false">
      <c r="A3" s="18" t="s">
        <v>413</v>
      </c>
      <c r="B3" s="18" t="s">
        <v>414</v>
      </c>
      <c r="C3" s="18" t="s">
        <v>409</v>
      </c>
      <c r="D3" s="18" t="s">
        <v>415</v>
      </c>
      <c r="E3" s="18" t="s">
        <v>411</v>
      </c>
      <c r="F3" s="19"/>
      <c r="G3" s="18" t="n">
        <v>2557</v>
      </c>
      <c r="H3" s="18" t="s">
        <v>416</v>
      </c>
    </row>
    <row r="4" customFormat="false" ht="69.75" hidden="false" customHeight="true" outlineLevel="0" collapsed="false">
      <c r="A4" s="16" t="s">
        <v>417</v>
      </c>
      <c r="B4" s="16" t="s">
        <v>418</v>
      </c>
      <c r="C4" s="16" t="s">
        <v>409</v>
      </c>
      <c r="D4" s="16" t="s">
        <v>419</v>
      </c>
      <c r="E4" s="16" t="s">
        <v>411</v>
      </c>
      <c r="F4" s="17"/>
      <c r="G4" s="16" t="n">
        <v>1973</v>
      </c>
      <c r="H4" s="16" t="s">
        <v>420</v>
      </c>
    </row>
    <row r="5" customFormat="false" ht="69.75" hidden="false" customHeight="true" outlineLevel="0" collapsed="false">
      <c r="A5" s="18" t="s">
        <v>421</v>
      </c>
      <c r="B5" s="18" t="s">
        <v>422</v>
      </c>
      <c r="C5" s="18" t="s">
        <v>409</v>
      </c>
      <c r="D5" s="18" t="s">
        <v>423</v>
      </c>
      <c r="E5" s="18" t="s">
        <v>411</v>
      </c>
      <c r="F5" s="19"/>
      <c r="G5" s="18" t="n">
        <v>570</v>
      </c>
      <c r="H5" s="18" t="s">
        <v>424</v>
      </c>
    </row>
    <row r="6" customFormat="false" ht="69.75" hidden="false" customHeight="true" outlineLevel="0" collapsed="false">
      <c r="A6" s="16" t="s">
        <v>425</v>
      </c>
      <c r="B6" s="16" t="s">
        <v>426</v>
      </c>
      <c r="C6" s="16" t="s">
        <v>409</v>
      </c>
      <c r="D6" s="16" t="s">
        <v>427</v>
      </c>
      <c r="E6" s="16" t="s">
        <v>411</v>
      </c>
      <c r="F6" s="17"/>
      <c r="G6" s="16" t="n">
        <v>354</v>
      </c>
      <c r="H6" s="16" t="s">
        <v>428</v>
      </c>
    </row>
    <row r="7" customFormat="false" ht="69.75" hidden="false" customHeight="true" outlineLevel="0" collapsed="false">
      <c r="A7" s="18" t="s">
        <v>429</v>
      </c>
      <c r="B7" s="18" t="s">
        <v>430</v>
      </c>
      <c r="C7" s="18" t="s">
        <v>409</v>
      </c>
      <c r="D7" s="18" t="s">
        <v>431</v>
      </c>
      <c r="E7" s="18" t="s">
        <v>411</v>
      </c>
      <c r="F7" s="19"/>
      <c r="G7" s="18" t="n">
        <v>188</v>
      </c>
      <c r="H7" s="18" t="s">
        <v>432</v>
      </c>
    </row>
    <row r="8" customFormat="false" ht="69.75" hidden="false" customHeight="true" outlineLevel="0" collapsed="false">
      <c r="A8" s="16" t="s">
        <v>433</v>
      </c>
      <c r="B8" s="16" t="s">
        <v>434</v>
      </c>
      <c r="C8" s="16" t="s">
        <v>409</v>
      </c>
      <c r="D8" s="16" t="s">
        <v>435</v>
      </c>
      <c r="E8" s="16" t="s">
        <v>411</v>
      </c>
      <c r="F8" s="17"/>
      <c r="G8" s="16" t="n">
        <v>303</v>
      </c>
      <c r="H8" s="16" t="s">
        <v>436</v>
      </c>
    </row>
    <row r="9" customFormat="false" ht="69.75" hidden="false" customHeight="true" outlineLevel="0" collapsed="false">
      <c r="A9" s="18" t="s">
        <v>437</v>
      </c>
      <c r="B9" s="18" t="s">
        <v>438</v>
      </c>
      <c r="C9" s="18" t="s">
        <v>409</v>
      </c>
      <c r="D9" s="18" t="s">
        <v>439</v>
      </c>
      <c r="E9" s="18" t="s">
        <v>411</v>
      </c>
      <c r="F9" s="19"/>
      <c r="G9" s="18" t="n">
        <v>354</v>
      </c>
      <c r="H9" s="18" t="s">
        <v>440</v>
      </c>
    </row>
    <row r="10" customFormat="false" ht="69.75" hidden="false" customHeight="true" outlineLevel="0" collapsed="false">
      <c r="A10" s="16"/>
      <c r="B10" s="16" t="s">
        <v>441</v>
      </c>
      <c r="C10" s="16" t="s">
        <v>409</v>
      </c>
      <c r="D10" s="16" t="s">
        <v>442</v>
      </c>
      <c r="E10" s="16" t="s">
        <v>411</v>
      </c>
      <c r="F10" s="17"/>
      <c r="G10" s="16" t="n">
        <v>570</v>
      </c>
      <c r="H10" s="16" t="s">
        <v>443</v>
      </c>
    </row>
    <row r="11" customFormat="false" ht="69.75" hidden="false" customHeight="true" outlineLevel="0" collapsed="false">
      <c r="A11" s="18"/>
      <c r="B11" s="18" t="s">
        <v>444</v>
      </c>
      <c r="C11" s="18" t="s">
        <v>409</v>
      </c>
      <c r="D11" s="18" t="s">
        <v>445</v>
      </c>
      <c r="E11" s="18" t="s">
        <v>411</v>
      </c>
      <c r="F11" s="19"/>
      <c r="G11" s="18"/>
      <c r="H11" s="18" t="s">
        <v>446</v>
      </c>
    </row>
    <row r="12" customFormat="false" ht="69.75" hidden="false" customHeight="true" outlineLevel="0" collapsed="false">
      <c r="A12" s="16"/>
      <c r="B12" s="16" t="s">
        <v>447</v>
      </c>
      <c r="C12" s="16" t="s">
        <v>409</v>
      </c>
      <c r="D12" s="16" t="s">
        <v>448</v>
      </c>
      <c r="E12" s="16" t="s">
        <v>411</v>
      </c>
      <c r="F12" s="17"/>
      <c r="G12" s="16"/>
      <c r="H12" s="16" t="s">
        <v>449</v>
      </c>
    </row>
    <row r="13" customFormat="false" ht="69.75" hidden="false" customHeight="true" outlineLevel="0" collapsed="false">
      <c r="A13" s="18"/>
      <c r="B13" s="18" t="s">
        <v>450</v>
      </c>
      <c r="C13" s="18" t="s">
        <v>409</v>
      </c>
      <c r="D13" s="18" t="s">
        <v>451</v>
      </c>
      <c r="E13" s="18" t="s">
        <v>411</v>
      </c>
      <c r="F13" s="19"/>
      <c r="G13" s="18"/>
      <c r="H13" s="18" t="s">
        <v>452</v>
      </c>
    </row>
    <row r="14" customFormat="false" ht="15" hidden="false" customHeight="true" outlineLevel="0" collapsed="false">
      <c r="A14" s="20"/>
      <c r="B14" s="20"/>
      <c r="C14" s="20"/>
      <c r="D14" s="20"/>
      <c r="E14" s="20"/>
      <c r="F14" s="20"/>
      <c r="G14" s="20"/>
      <c r="H14" s="20"/>
    </row>
    <row r="15" customFormat="false" ht="27.75" hidden="false" customHeight="true" outlineLevel="0" collapsed="false">
      <c r="A15" s="21" t="s">
        <v>453</v>
      </c>
      <c r="B15" s="22" t="s">
        <v>454</v>
      </c>
      <c r="C15" s="22"/>
      <c r="D15" s="22"/>
      <c r="E15" s="22"/>
      <c r="F15" s="22"/>
      <c r="G15" s="22"/>
      <c r="H15" s="22"/>
    </row>
    <row r="16" customFormat="false" ht="69.75" hidden="false" customHeight="true" outlineLevel="0" collapsed="false">
      <c r="A16" s="18" t="s">
        <v>455</v>
      </c>
      <c r="B16" s="18" t="s">
        <v>456</v>
      </c>
      <c r="C16" s="18" t="s">
        <v>457</v>
      </c>
      <c r="D16" s="18" t="s">
        <v>458</v>
      </c>
      <c r="E16" s="18" t="s">
        <v>459</v>
      </c>
      <c r="F16" s="19"/>
      <c r="G16" s="18" t="n">
        <v>18</v>
      </c>
      <c r="H16" s="18" t="s">
        <v>460</v>
      </c>
    </row>
    <row r="17" customFormat="false" ht="69.75" hidden="false" customHeight="true" outlineLevel="0" collapsed="false">
      <c r="A17" s="16" t="s">
        <v>461</v>
      </c>
      <c r="B17" s="16" t="s">
        <v>462</v>
      </c>
      <c r="C17" s="16" t="s">
        <v>457</v>
      </c>
      <c r="D17" s="16" t="s">
        <v>463</v>
      </c>
      <c r="E17" s="16" t="s">
        <v>459</v>
      </c>
      <c r="F17" s="17"/>
      <c r="G17" s="16" t="n">
        <v>5</v>
      </c>
      <c r="H17" s="16" t="s">
        <v>464</v>
      </c>
    </row>
    <row r="18" customFormat="false" ht="69.75" hidden="false" customHeight="true" outlineLevel="0" collapsed="false">
      <c r="A18" s="18" t="s">
        <v>465</v>
      </c>
      <c r="B18" s="18" t="s">
        <v>466</v>
      </c>
      <c r="C18" s="18" t="s">
        <v>457</v>
      </c>
      <c r="D18" s="18" t="s">
        <v>467</v>
      </c>
      <c r="E18" s="18" t="s">
        <v>459</v>
      </c>
      <c r="F18" s="19"/>
      <c r="G18" s="18" t="n">
        <v>13</v>
      </c>
      <c r="H18" s="18" t="s">
        <v>468</v>
      </c>
    </row>
    <row r="19" customFormat="false" ht="69.75" hidden="false" customHeight="true" outlineLevel="0" collapsed="false">
      <c r="A19" s="16" t="s">
        <v>469</v>
      </c>
      <c r="B19" s="16" t="s">
        <v>470</v>
      </c>
      <c r="C19" s="16" t="s">
        <v>457</v>
      </c>
      <c r="D19" s="16" t="s">
        <v>471</v>
      </c>
      <c r="E19" s="16" t="s">
        <v>459</v>
      </c>
      <c r="F19" s="17"/>
      <c r="G19" s="16" t="n">
        <v>11</v>
      </c>
      <c r="H19" s="16" t="s">
        <v>472</v>
      </c>
    </row>
    <row r="20" customFormat="false" ht="69.75" hidden="false" customHeight="true" outlineLevel="0" collapsed="false">
      <c r="A20" s="23" t="s">
        <v>473</v>
      </c>
      <c r="B20" s="23" t="s">
        <v>474</v>
      </c>
      <c r="C20" s="23" t="s">
        <v>457</v>
      </c>
      <c r="D20" s="23"/>
      <c r="E20" s="23"/>
      <c r="F20" s="23"/>
      <c r="G20" s="23"/>
      <c r="H20" s="23" t="s">
        <v>475</v>
      </c>
    </row>
    <row r="21" customFormat="false" ht="69.75" hidden="false" customHeight="true" outlineLevel="0" collapsed="false">
      <c r="A21" s="18" t="s">
        <v>476</v>
      </c>
      <c r="B21" s="18" t="s">
        <v>477</v>
      </c>
      <c r="C21" s="18" t="s">
        <v>478</v>
      </c>
      <c r="D21" s="18" t="s">
        <v>479</v>
      </c>
      <c r="E21" s="18" t="s">
        <v>480</v>
      </c>
      <c r="F21" s="18"/>
      <c r="G21" s="18" t="n">
        <v>192</v>
      </c>
      <c r="H21" s="18" t="s">
        <v>481</v>
      </c>
    </row>
    <row r="22" customFormat="false" ht="42" hidden="false" customHeight="true" outlineLevel="0" collapsed="false">
      <c r="A22" s="18" t="s">
        <v>482</v>
      </c>
      <c r="B22" s="18" t="s">
        <v>483</v>
      </c>
      <c r="C22" s="18" t="s">
        <v>484</v>
      </c>
      <c r="D22" s="18" t="s">
        <v>485</v>
      </c>
      <c r="E22" s="18" t="s">
        <v>486</v>
      </c>
      <c r="F22" s="18"/>
      <c r="G22" s="18" t="n">
        <v>2</v>
      </c>
      <c r="H22" s="18" t="s">
        <v>487</v>
      </c>
    </row>
    <row r="23" customFormat="false" ht="42" hidden="false" customHeight="true" outlineLevel="0" collapsed="false">
      <c r="A23" s="18" t="s">
        <v>488</v>
      </c>
      <c r="B23" s="18" t="s">
        <v>489</v>
      </c>
      <c r="C23" s="18" t="s">
        <v>484</v>
      </c>
      <c r="D23" s="18" t="s">
        <v>490</v>
      </c>
      <c r="E23" s="18" t="s">
        <v>486</v>
      </c>
      <c r="F23" s="18"/>
      <c r="G23" s="18" t="n">
        <v>1</v>
      </c>
      <c r="H23" s="18" t="s">
        <v>491</v>
      </c>
    </row>
    <row r="24" customFormat="false" ht="42" hidden="false" customHeight="true" outlineLevel="0" collapsed="false">
      <c r="A24" s="24" t="s">
        <v>492</v>
      </c>
      <c r="B24" s="24" t="s">
        <v>493</v>
      </c>
      <c r="C24" s="24" t="s">
        <v>494</v>
      </c>
      <c r="D24" s="24" t="s">
        <v>495</v>
      </c>
      <c r="E24" s="24" t="s">
        <v>496</v>
      </c>
      <c r="F24" s="24"/>
      <c r="G24" s="24" t="n">
        <v>59</v>
      </c>
      <c r="H24" s="24" t="s">
        <v>497</v>
      </c>
    </row>
  </sheetData>
  <mergeCells count="1">
    <mergeCell ref="B15:H15"/>
  </mergeCells>
  <printOptions headings="false" gridLines="false" gridLinesSet="true" horizontalCentered="false" verticalCentered="false"/>
  <pageMargins left="0.75" right="0.75" top="1" bottom="1"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I95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83203125" defaultRowHeight="15" customHeight="false" zeroHeight="false" outlineLevelRow="0" outlineLevelCol="0"/>
  <cols>
    <col collapsed="false" customWidth="true" hidden="false" outlineLevel="0" max="1" min="1" style="1" width="10"/>
    <col collapsed="false" customWidth="true" hidden="false" outlineLevel="0" max="2" min="2" style="1" width="22"/>
    <col collapsed="false" customWidth="true" hidden="false" outlineLevel="0" max="3" min="3" style="1" width="46"/>
    <col collapsed="false" customWidth="true" hidden="false" outlineLevel="0" max="4" min="4" style="1" width="8"/>
    <col collapsed="false" customWidth="true" hidden="false" outlineLevel="0" max="5" min="5" style="1" width="26"/>
    <col collapsed="false" customWidth="true" hidden="false" outlineLevel="0" max="6" min="6" style="1" width="20"/>
    <col collapsed="false" customWidth="true" hidden="false" outlineLevel="0" max="7" min="7" style="1" width="22"/>
    <col collapsed="false" customWidth="true" hidden="false" outlineLevel="0" max="8" min="8" style="1" width="12"/>
    <col collapsed="false" customWidth="true" hidden="false" outlineLevel="0" max="9" min="9" style="1" width="34"/>
  </cols>
  <sheetData>
    <row r="1" customFormat="false" ht="30" hidden="false" customHeight="true" outlineLevel="0" collapsed="false">
      <c r="A1" s="15" t="s">
        <v>498</v>
      </c>
      <c r="B1" s="15" t="s">
        <v>14</v>
      </c>
      <c r="C1" s="15" t="s">
        <v>13</v>
      </c>
      <c r="D1" s="15" t="s">
        <v>15</v>
      </c>
      <c r="E1" s="15" t="s">
        <v>499</v>
      </c>
      <c r="F1" s="15" t="s">
        <v>17</v>
      </c>
      <c r="G1" s="15" t="s">
        <v>500</v>
      </c>
      <c r="H1" s="15" t="s">
        <v>501</v>
      </c>
      <c r="I1" s="15" t="s">
        <v>502</v>
      </c>
    </row>
    <row r="2" customFormat="false" ht="42" hidden="false" customHeight="true" outlineLevel="0" collapsed="false">
      <c r="A2" s="25" t="s">
        <v>503</v>
      </c>
      <c r="B2" s="25" t="s">
        <v>504</v>
      </c>
      <c r="C2" s="25" t="s">
        <v>505</v>
      </c>
      <c r="D2" s="25" t="n">
        <v>2019</v>
      </c>
      <c r="E2" s="25" t="s">
        <v>32</v>
      </c>
      <c r="F2" s="25" t="s">
        <v>506</v>
      </c>
      <c r="G2" s="25" t="s">
        <v>507</v>
      </c>
      <c r="H2" s="25" t="s">
        <v>25</v>
      </c>
      <c r="I2" s="25" t="s">
        <v>508</v>
      </c>
    </row>
    <row r="3" customFormat="false" ht="39" hidden="false" customHeight="true" outlineLevel="0" collapsed="false">
      <c r="A3" s="9" t="s">
        <v>509</v>
      </c>
      <c r="B3" s="9" t="s">
        <v>510</v>
      </c>
      <c r="C3" s="9" t="s">
        <v>511</v>
      </c>
      <c r="D3" s="9" t="n">
        <v>2026</v>
      </c>
      <c r="E3" s="9" t="s">
        <v>512</v>
      </c>
      <c r="F3" s="9" t="s">
        <v>513</v>
      </c>
      <c r="G3" s="9" t="s">
        <v>507</v>
      </c>
      <c r="H3" s="9" t="s">
        <v>514</v>
      </c>
      <c r="I3" s="9" t="s">
        <v>515</v>
      </c>
    </row>
    <row r="4" customFormat="false" ht="39" hidden="false" customHeight="true" outlineLevel="0" collapsed="false">
      <c r="A4" s="10" t="s">
        <v>516</v>
      </c>
      <c r="B4" s="10" t="s">
        <v>517</v>
      </c>
      <c r="C4" s="10" t="s">
        <v>518</v>
      </c>
      <c r="D4" s="10" t="n">
        <v>2026</v>
      </c>
      <c r="E4" s="10" t="s">
        <v>519</v>
      </c>
      <c r="F4" s="10" t="s">
        <v>520</v>
      </c>
      <c r="G4" s="10" t="s">
        <v>507</v>
      </c>
      <c r="H4" s="10" t="s">
        <v>25</v>
      </c>
      <c r="I4" s="10" t="s">
        <v>521</v>
      </c>
    </row>
    <row r="5" customFormat="false" ht="39" hidden="false" customHeight="true" outlineLevel="0" collapsed="false">
      <c r="A5" s="9" t="s">
        <v>522</v>
      </c>
      <c r="B5" s="9" t="s">
        <v>523</v>
      </c>
      <c r="C5" s="9" t="s">
        <v>524</v>
      </c>
      <c r="D5" s="9" t="n">
        <v>2026</v>
      </c>
      <c r="E5" s="9" t="s">
        <v>525</v>
      </c>
      <c r="F5" s="9" t="s">
        <v>526</v>
      </c>
      <c r="G5" s="9" t="s">
        <v>527</v>
      </c>
      <c r="H5" s="9" t="s">
        <v>25</v>
      </c>
      <c r="I5" s="9" t="s">
        <v>528</v>
      </c>
    </row>
    <row r="6" customFormat="false" ht="39" hidden="false" customHeight="true" outlineLevel="0" collapsed="false">
      <c r="A6" s="10" t="s">
        <v>529</v>
      </c>
      <c r="B6" s="10" t="s">
        <v>530</v>
      </c>
      <c r="C6" s="10" t="s">
        <v>531</v>
      </c>
      <c r="D6" s="10" t="n">
        <v>2026</v>
      </c>
      <c r="E6" s="10" t="s">
        <v>532</v>
      </c>
      <c r="F6" s="10" t="s">
        <v>533</v>
      </c>
      <c r="G6" s="10" t="s">
        <v>507</v>
      </c>
      <c r="H6" s="10" t="s">
        <v>25</v>
      </c>
      <c r="I6" s="10" t="s">
        <v>534</v>
      </c>
    </row>
    <row r="7" customFormat="false" ht="39" hidden="false" customHeight="true" outlineLevel="0" collapsed="false">
      <c r="A7" s="9" t="s">
        <v>535</v>
      </c>
      <c r="B7" s="9" t="s">
        <v>536</v>
      </c>
      <c r="C7" s="9" t="s">
        <v>537</v>
      </c>
      <c r="D7" s="9" t="n">
        <v>2026</v>
      </c>
      <c r="E7" s="9" t="s">
        <v>538</v>
      </c>
      <c r="F7" s="9" t="s">
        <v>539</v>
      </c>
      <c r="G7" s="9" t="s">
        <v>527</v>
      </c>
      <c r="H7" s="9" t="s">
        <v>25</v>
      </c>
      <c r="I7" s="9" t="s">
        <v>540</v>
      </c>
    </row>
    <row r="8" customFormat="false" ht="25.5" hidden="false" customHeight="true" outlineLevel="0" collapsed="false">
      <c r="A8" s="10" t="s">
        <v>541</v>
      </c>
      <c r="B8" s="10" t="s">
        <v>542</v>
      </c>
      <c r="C8" s="10" t="s">
        <v>543</v>
      </c>
      <c r="D8" s="10" t="n">
        <v>2026</v>
      </c>
      <c r="E8" s="10" t="s">
        <v>544</v>
      </c>
      <c r="F8" s="10" t="s">
        <v>545</v>
      </c>
      <c r="G8" s="10" t="s">
        <v>507</v>
      </c>
      <c r="H8" s="10" t="s">
        <v>514</v>
      </c>
      <c r="I8" s="10" t="s">
        <v>546</v>
      </c>
    </row>
    <row r="9" customFormat="false" ht="51.75" hidden="false" customHeight="true" outlineLevel="0" collapsed="false">
      <c r="A9" s="9" t="s">
        <v>547</v>
      </c>
      <c r="B9" s="9" t="s">
        <v>548</v>
      </c>
      <c r="C9" s="9" t="s">
        <v>549</v>
      </c>
      <c r="D9" s="9" t="n">
        <v>2026</v>
      </c>
      <c r="E9" s="9" t="s">
        <v>550</v>
      </c>
      <c r="F9" s="9" t="s">
        <v>551</v>
      </c>
      <c r="G9" s="9" t="s">
        <v>507</v>
      </c>
      <c r="H9" s="9" t="s">
        <v>25</v>
      </c>
      <c r="I9" s="9" t="s">
        <v>552</v>
      </c>
    </row>
    <row r="10" customFormat="false" ht="25.5" hidden="false" customHeight="true" outlineLevel="0" collapsed="false">
      <c r="A10" s="10" t="s">
        <v>553</v>
      </c>
      <c r="B10" s="10" t="s">
        <v>554</v>
      </c>
      <c r="C10" s="10" t="s">
        <v>555</v>
      </c>
      <c r="D10" s="10" t="n">
        <v>2026</v>
      </c>
      <c r="E10" s="10" t="s">
        <v>81</v>
      </c>
      <c r="F10" s="10" t="s">
        <v>556</v>
      </c>
      <c r="G10" s="10" t="s">
        <v>507</v>
      </c>
      <c r="H10" s="10" t="s">
        <v>25</v>
      </c>
      <c r="I10" s="10" t="s">
        <v>557</v>
      </c>
    </row>
    <row r="11" customFormat="false" ht="25.5" hidden="false" customHeight="true" outlineLevel="0" collapsed="false">
      <c r="A11" s="9" t="s">
        <v>553</v>
      </c>
      <c r="B11" s="9" t="s">
        <v>554</v>
      </c>
      <c r="C11" s="9" t="s">
        <v>555</v>
      </c>
      <c r="D11" s="9" t="n">
        <v>2026</v>
      </c>
      <c r="E11" s="9" t="s">
        <v>81</v>
      </c>
      <c r="F11" s="9" t="s">
        <v>556</v>
      </c>
      <c r="G11" s="9" t="s">
        <v>527</v>
      </c>
      <c r="H11" s="9" t="s">
        <v>25</v>
      </c>
      <c r="I11" s="9" t="s">
        <v>557</v>
      </c>
    </row>
    <row r="12" customFormat="false" ht="25.5" hidden="false" customHeight="true" outlineLevel="0" collapsed="false">
      <c r="A12" s="10" t="s">
        <v>558</v>
      </c>
      <c r="B12" s="10" t="s">
        <v>559</v>
      </c>
      <c r="C12" s="10" t="s">
        <v>560</v>
      </c>
      <c r="D12" s="10" t="n">
        <v>2026</v>
      </c>
      <c r="E12" s="10" t="s">
        <v>130</v>
      </c>
      <c r="F12" s="10" t="s">
        <v>561</v>
      </c>
      <c r="G12" s="10" t="s">
        <v>507</v>
      </c>
      <c r="H12" s="10" t="s">
        <v>25</v>
      </c>
      <c r="I12" s="10" t="s">
        <v>562</v>
      </c>
    </row>
    <row r="13" customFormat="false" ht="25.5" hidden="false" customHeight="true" outlineLevel="0" collapsed="false">
      <c r="A13" s="9" t="s">
        <v>558</v>
      </c>
      <c r="B13" s="9" t="s">
        <v>559</v>
      </c>
      <c r="C13" s="9" t="s">
        <v>560</v>
      </c>
      <c r="D13" s="9" t="n">
        <v>2026</v>
      </c>
      <c r="E13" s="9" t="s">
        <v>130</v>
      </c>
      <c r="F13" s="9" t="s">
        <v>561</v>
      </c>
      <c r="G13" s="9" t="s">
        <v>527</v>
      </c>
      <c r="H13" s="9" t="s">
        <v>25</v>
      </c>
      <c r="I13" s="9" t="s">
        <v>562</v>
      </c>
    </row>
    <row r="14" customFormat="false" ht="64.5" hidden="false" customHeight="true" outlineLevel="0" collapsed="false">
      <c r="A14" s="10" t="s">
        <v>563</v>
      </c>
      <c r="B14" s="10" t="s">
        <v>564</v>
      </c>
      <c r="C14" s="10" t="s">
        <v>565</v>
      </c>
      <c r="D14" s="10" t="n">
        <v>2026</v>
      </c>
      <c r="E14" s="10" t="s">
        <v>566</v>
      </c>
      <c r="F14" s="10" t="s">
        <v>567</v>
      </c>
      <c r="G14" s="10" t="s">
        <v>507</v>
      </c>
      <c r="H14" s="10" t="s">
        <v>514</v>
      </c>
      <c r="I14" s="10" t="s">
        <v>568</v>
      </c>
    </row>
    <row r="15" customFormat="false" ht="51.75" hidden="false" customHeight="true" outlineLevel="0" collapsed="false">
      <c r="A15" s="9" t="s">
        <v>569</v>
      </c>
      <c r="B15" s="9" t="s">
        <v>325</v>
      </c>
      <c r="C15" s="9" t="s">
        <v>324</v>
      </c>
      <c r="D15" s="9" t="n">
        <v>2026</v>
      </c>
      <c r="E15" s="9" t="s">
        <v>326</v>
      </c>
      <c r="F15" s="9" t="s">
        <v>327</v>
      </c>
      <c r="G15" s="9" t="s">
        <v>527</v>
      </c>
      <c r="H15" s="9" t="s">
        <v>25</v>
      </c>
      <c r="I15" s="9" t="s">
        <v>570</v>
      </c>
    </row>
    <row r="16" customFormat="false" ht="39" hidden="false" customHeight="true" outlineLevel="0" collapsed="false">
      <c r="A16" s="10" t="s">
        <v>571</v>
      </c>
      <c r="B16" s="10" t="s">
        <v>572</v>
      </c>
      <c r="C16" s="10" t="s">
        <v>573</v>
      </c>
      <c r="D16" s="10" t="n">
        <v>2026</v>
      </c>
      <c r="E16" s="10" t="s">
        <v>574</v>
      </c>
      <c r="F16" s="10" t="s">
        <v>575</v>
      </c>
      <c r="G16" s="10" t="s">
        <v>507</v>
      </c>
      <c r="H16" s="10" t="s">
        <v>25</v>
      </c>
      <c r="I16" s="10" t="s">
        <v>576</v>
      </c>
    </row>
    <row r="17" customFormat="false" ht="51.75" hidden="false" customHeight="true" outlineLevel="0" collapsed="false">
      <c r="A17" s="9" t="s">
        <v>577</v>
      </c>
      <c r="B17" s="9" t="s">
        <v>578</v>
      </c>
      <c r="C17" s="9" t="s">
        <v>579</v>
      </c>
      <c r="D17" s="9" t="n">
        <v>2026</v>
      </c>
      <c r="E17" s="9" t="s">
        <v>580</v>
      </c>
      <c r="F17" s="9" t="s">
        <v>581</v>
      </c>
      <c r="G17" s="9" t="s">
        <v>507</v>
      </c>
      <c r="H17" s="9" t="s">
        <v>335</v>
      </c>
      <c r="I17" s="9" t="s">
        <v>582</v>
      </c>
    </row>
    <row r="18" customFormat="false" ht="51.75" hidden="false" customHeight="true" outlineLevel="0" collapsed="false">
      <c r="A18" s="10" t="s">
        <v>577</v>
      </c>
      <c r="B18" s="10" t="s">
        <v>578</v>
      </c>
      <c r="C18" s="10" t="s">
        <v>579</v>
      </c>
      <c r="D18" s="10" t="n">
        <v>2026</v>
      </c>
      <c r="E18" s="10" t="s">
        <v>580</v>
      </c>
      <c r="F18" s="10" t="s">
        <v>581</v>
      </c>
      <c r="G18" s="10" t="s">
        <v>527</v>
      </c>
      <c r="H18" s="10" t="s">
        <v>335</v>
      </c>
      <c r="I18" s="10" t="s">
        <v>582</v>
      </c>
    </row>
    <row r="19" customFormat="false" ht="39" hidden="false" customHeight="true" outlineLevel="0" collapsed="false">
      <c r="A19" s="9" t="s">
        <v>583</v>
      </c>
      <c r="B19" s="9" t="s">
        <v>584</v>
      </c>
      <c r="C19" s="9" t="s">
        <v>585</v>
      </c>
      <c r="D19" s="9" t="n">
        <v>2026</v>
      </c>
      <c r="E19" s="9" t="s">
        <v>586</v>
      </c>
      <c r="F19" s="9" t="s">
        <v>587</v>
      </c>
      <c r="G19" s="9" t="s">
        <v>527</v>
      </c>
      <c r="H19" s="9" t="s">
        <v>25</v>
      </c>
      <c r="I19" s="9" t="s">
        <v>588</v>
      </c>
    </row>
    <row r="20" customFormat="false" ht="51.75" hidden="false" customHeight="true" outlineLevel="0" collapsed="false">
      <c r="A20" s="10" t="s">
        <v>589</v>
      </c>
      <c r="B20" s="10" t="s">
        <v>590</v>
      </c>
      <c r="C20" s="10" t="s">
        <v>591</v>
      </c>
      <c r="D20" s="10" t="n">
        <v>2026</v>
      </c>
      <c r="E20" s="10" t="s">
        <v>592</v>
      </c>
      <c r="F20" s="10" t="s">
        <v>593</v>
      </c>
      <c r="G20" s="10" t="s">
        <v>507</v>
      </c>
      <c r="H20" s="10" t="s">
        <v>335</v>
      </c>
      <c r="I20" s="10" t="s">
        <v>594</v>
      </c>
    </row>
    <row r="21" customFormat="false" ht="39" hidden="false" customHeight="true" outlineLevel="0" collapsed="false">
      <c r="A21" s="9" t="s">
        <v>595</v>
      </c>
      <c r="B21" s="9" t="s">
        <v>596</v>
      </c>
      <c r="C21" s="9" t="s">
        <v>597</v>
      </c>
      <c r="D21" s="9" t="n">
        <v>2026</v>
      </c>
      <c r="E21" s="9" t="s">
        <v>598</v>
      </c>
      <c r="F21" s="9" t="s">
        <v>599</v>
      </c>
      <c r="G21" s="9" t="s">
        <v>507</v>
      </c>
      <c r="H21" s="9" t="s">
        <v>25</v>
      </c>
      <c r="I21" s="9" t="s">
        <v>600</v>
      </c>
    </row>
    <row r="22" customFormat="false" ht="64.5" hidden="false" customHeight="true" outlineLevel="0" collapsed="false">
      <c r="A22" s="10" t="s">
        <v>601</v>
      </c>
      <c r="B22" s="10" t="s">
        <v>602</v>
      </c>
      <c r="C22" s="10" t="s">
        <v>603</v>
      </c>
      <c r="D22" s="10" t="n">
        <v>2026</v>
      </c>
      <c r="E22" s="10" t="s">
        <v>254</v>
      </c>
      <c r="F22" s="10" t="s">
        <v>604</v>
      </c>
      <c r="G22" s="10" t="s">
        <v>507</v>
      </c>
      <c r="H22" s="10" t="s">
        <v>514</v>
      </c>
      <c r="I22" s="10" t="s">
        <v>605</v>
      </c>
    </row>
    <row r="23" customFormat="false" ht="25.5" hidden="false" customHeight="true" outlineLevel="0" collapsed="false">
      <c r="A23" s="9" t="s">
        <v>606</v>
      </c>
      <c r="B23" s="9" t="s">
        <v>607</v>
      </c>
      <c r="C23" s="9" t="s">
        <v>608</v>
      </c>
      <c r="D23" s="9" t="n">
        <v>2026</v>
      </c>
      <c r="E23" s="9" t="s">
        <v>130</v>
      </c>
      <c r="F23" s="9" t="s">
        <v>609</v>
      </c>
      <c r="G23" s="9" t="s">
        <v>507</v>
      </c>
      <c r="H23" s="9" t="s">
        <v>25</v>
      </c>
      <c r="I23" s="9" t="s">
        <v>610</v>
      </c>
    </row>
    <row r="24" customFormat="false" ht="25.5" hidden="false" customHeight="true" outlineLevel="0" collapsed="false">
      <c r="A24" s="10" t="s">
        <v>606</v>
      </c>
      <c r="B24" s="10" t="s">
        <v>607</v>
      </c>
      <c r="C24" s="10" t="s">
        <v>608</v>
      </c>
      <c r="D24" s="10" t="n">
        <v>2026</v>
      </c>
      <c r="E24" s="10" t="s">
        <v>130</v>
      </c>
      <c r="F24" s="10" t="s">
        <v>609</v>
      </c>
      <c r="G24" s="10" t="s">
        <v>527</v>
      </c>
      <c r="H24" s="10" t="s">
        <v>25</v>
      </c>
      <c r="I24" s="10" t="s">
        <v>610</v>
      </c>
    </row>
    <row r="25" customFormat="false" ht="25.5" hidden="false" customHeight="true" outlineLevel="0" collapsed="false">
      <c r="A25" s="9" t="s">
        <v>611</v>
      </c>
      <c r="B25" s="9" t="s">
        <v>612</v>
      </c>
      <c r="C25" s="9" t="s">
        <v>613</v>
      </c>
      <c r="D25" s="9" t="n">
        <v>2026</v>
      </c>
      <c r="E25" s="9" t="s">
        <v>614</v>
      </c>
      <c r="F25" s="9" t="s">
        <v>615</v>
      </c>
      <c r="G25" s="9" t="s">
        <v>507</v>
      </c>
      <c r="H25" s="9" t="s">
        <v>25</v>
      </c>
      <c r="I25" s="9" t="s">
        <v>616</v>
      </c>
    </row>
    <row r="26" customFormat="false" ht="25.5" hidden="false" customHeight="true" outlineLevel="0" collapsed="false">
      <c r="A26" s="10" t="s">
        <v>611</v>
      </c>
      <c r="B26" s="10" t="s">
        <v>612</v>
      </c>
      <c r="C26" s="10" t="s">
        <v>613</v>
      </c>
      <c r="D26" s="10" t="n">
        <v>2026</v>
      </c>
      <c r="E26" s="10" t="s">
        <v>614</v>
      </c>
      <c r="F26" s="10" t="s">
        <v>615</v>
      </c>
      <c r="G26" s="10" t="s">
        <v>527</v>
      </c>
      <c r="H26" s="10" t="s">
        <v>25</v>
      </c>
      <c r="I26" s="10" t="s">
        <v>616</v>
      </c>
    </row>
    <row r="27" customFormat="false" ht="39" hidden="false" customHeight="true" outlineLevel="0" collapsed="false">
      <c r="A27" s="9" t="s">
        <v>617</v>
      </c>
      <c r="B27" s="9" t="s">
        <v>618</v>
      </c>
      <c r="C27" s="9" t="s">
        <v>619</v>
      </c>
      <c r="D27" s="9" t="n">
        <v>2026</v>
      </c>
      <c r="E27" s="9" t="s">
        <v>580</v>
      </c>
      <c r="F27" s="9" t="s">
        <v>620</v>
      </c>
      <c r="G27" s="9" t="s">
        <v>507</v>
      </c>
      <c r="H27" s="9" t="s">
        <v>514</v>
      </c>
      <c r="I27" s="9" t="s">
        <v>621</v>
      </c>
    </row>
    <row r="28" customFormat="false" ht="39" hidden="false" customHeight="true" outlineLevel="0" collapsed="false">
      <c r="A28" s="10" t="s">
        <v>622</v>
      </c>
      <c r="B28" s="10" t="s">
        <v>623</v>
      </c>
      <c r="C28" s="10" t="s">
        <v>624</v>
      </c>
      <c r="D28" s="10" t="n">
        <v>2026</v>
      </c>
      <c r="E28" s="10" t="s">
        <v>254</v>
      </c>
      <c r="F28" s="10" t="s">
        <v>625</v>
      </c>
      <c r="G28" s="10" t="s">
        <v>507</v>
      </c>
      <c r="H28" s="10" t="s">
        <v>25</v>
      </c>
      <c r="I28" s="10" t="s">
        <v>626</v>
      </c>
    </row>
    <row r="29" customFormat="false" ht="39" hidden="false" customHeight="true" outlineLevel="0" collapsed="false">
      <c r="A29" s="9" t="s">
        <v>622</v>
      </c>
      <c r="B29" s="9" t="s">
        <v>623</v>
      </c>
      <c r="C29" s="9" t="s">
        <v>624</v>
      </c>
      <c r="D29" s="9" t="n">
        <v>2026</v>
      </c>
      <c r="E29" s="9" t="s">
        <v>254</v>
      </c>
      <c r="F29" s="9" t="s">
        <v>625</v>
      </c>
      <c r="G29" s="9" t="s">
        <v>527</v>
      </c>
      <c r="H29" s="9" t="s">
        <v>25</v>
      </c>
      <c r="I29" s="9" t="s">
        <v>626</v>
      </c>
    </row>
    <row r="30" customFormat="false" ht="51.75" hidden="false" customHeight="true" outlineLevel="0" collapsed="false">
      <c r="A30" s="10" t="s">
        <v>627</v>
      </c>
      <c r="B30" s="10" t="s">
        <v>628</v>
      </c>
      <c r="C30" s="10" t="s">
        <v>629</v>
      </c>
      <c r="D30" s="10" t="n">
        <v>2026</v>
      </c>
      <c r="E30" s="10" t="s">
        <v>630</v>
      </c>
      <c r="F30" s="10" t="s">
        <v>631</v>
      </c>
      <c r="G30" s="10" t="s">
        <v>507</v>
      </c>
      <c r="H30" s="10" t="s">
        <v>335</v>
      </c>
      <c r="I30" s="10" t="s">
        <v>632</v>
      </c>
    </row>
    <row r="31" customFormat="false" ht="51.75" hidden="false" customHeight="true" outlineLevel="0" collapsed="false">
      <c r="A31" s="9" t="s">
        <v>633</v>
      </c>
      <c r="B31" s="9" t="s">
        <v>634</v>
      </c>
      <c r="C31" s="9" t="s">
        <v>635</v>
      </c>
      <c r="D31" s="9" t="n">
        <v>2026</v>
      </c>
      <c r="E31" s="9" t="s">
        <v>636</v>
      </c>
      <c r="F31" s="9" t="s">
        <v>637</v>
      </c>
      <c r="G31" s="9" t="s">
        <v>527</v>
      </c>
      <c r="H31" s="9" t="s">
        <v>335</v>
      </c>
      <c r="I31" s="9" t="s">
        <v>638</v>
      </c>
    </row>
    <row r="32" customFormat="false" ht="25.5" hidden="false" customHeight="true" outlineLevel="0" collapsed="false">
      <c r="A32" s="10" t="s">
        <v>639</v>
      </c>
      <c r="B32" s="10" t="s">
        <v>640</v>
      </c>
      <c r="C32" s="10" t="s">
        <v>641</v>
      </c>
      <c r="D32" s="10" t="n">
        <v>2026</v>
      </c>
      <c r="E32" s="10" t="s">
        <v>642</v>
      </c>
      <c r="F32" s="10" t="s">
        <v>643</v>
      </c>
      <c r="G32" s="10" t="s">
        <v>507</v>
      </c>
      <c r="H32" s="10" t="s">
        <v>514</v>
      </c>
      <c r="I32" s="10" t="s">
        <v>644</v>
      </c>
    </row>
    <row r="33" customFormat="false" ht="25.5" hidden="false" customHeight="true" outlineLevel="0" collapsed="false">
      <c r="A33" s="9" t="s">
        <v>645</v>
      </c>
      <c r="B33" s="9" t="s">
        <v>137</v>
      </c>
      <c r="C33" s="9" t="s">
        <v>136</v>
      </c>
      <c r="D33" s="9" t="n">
        <v>2026</v>
      </c>
      <c r="E33" s="9" t="s">
        <v>138</v>
      </c>
      <c r="F33" s="9" t="s">
        <v>139</v>
      </c>
      <c r="G33" s="9" t="s">
        <v>507</v>
      </c>
      <c r="H33" s="9" t="s">
        <v>25</v>
      </c>
      <c r="I33" s="9" t="s">
        <v>646</v>
      </c>
    </row>
    <row r="34" customFormat="false" ht="25.5" hidden="false" customHeight="true" outlineLevel="0" collapsed="false">
      <c r="A34" s="10" t="s">
        <v>645</v>
      </c>
      <c r="B34" s="10" t="s">
        <v>137</v>
      </c>
      <c r="C34" s="10" t="s">
        <v>136</v>
      </c>
      <c r="D34" s="10" t="n">
        <v>2026</v>
      </c>
      <c r="E34" s="10" t="s">
        <v>138</v>
      </c>
      <c r="F34" s="10" t="s">
        <v>139</v>
      </c>
      <c r="G34" s="10" t="s">
        <v>527</v>
      </c>
      <c r="H34" s="10" t="s">
        <v>25</v>
      </c>
      <c r="I34" s="10" t="s">
        <v>646</v>
      </c>
    </row>
    <row r="35" customFormat="false" ht="25.5" hidden="false" customHeight="true" outlineLevel="0" collapsed="false">
      <c r="A35" s="9" t="s">
        <v>647</v>
      </c>
      <c r="B35" s="9" t="s">
        <v>648</v>
      </c>
      <c r="C35" s="9" t="s">
        <v>649</v>
      </c>
      <c r="D35" s="9" t="n">
        <v>2026</v>
      </c>
      <c r="E35" s="9" t="s">
        <v>650</v>
      </c>
      <c r="F35" s="9" t="s">
        <v>651</v>
      </c>
      <c r="G35" s="9" t="s">
        <v>527</v>
      </c>
      <c r="H35" s="9" t="s">
        <v>25</v>
      </c>
      <c r="I35" s="9" t="s">
        <v>652</v>
      </c>
    </row>
    <row r="36" customFormat="false" ht="39" hidden="false" customHeight="true" outlineLevel="0" collapsed="false">
      <c r="A36" s="10" t="s">
        <v>653</v>
      </c>
      <c r="B36" s="10" t="s">
        <v>654</v>
      </c>
      <c r="C36" s="10" t="s">
        <v>655</v>
      </c>
      <c r="D36" s="10" t="n">
        <v>2026</v>
      </c>
      <c r="E36" s="10" t="s">
        <v>208</v>
      </c>
      <c r="F36" s="10" t="s">
        <v>656</v>
      </c>
      <c r="G36" s="10" t="s">
        <v>507</v>
      </c>
      <c r="H36" s="10" t="s">
        <v>25</v>
      </c>
      <c r="I36" s="10" t="s">
        <v>657</v>
      </c>
    </row>
    <row r="37" customFormat="false" ht="39" hidden="false" customHeight="true" outlineLevel="0" collapsed="false">
      <c r="A37" s="9" t="s">
        <v>653</v>
      </c>
      <c r="B37" s="9" t="s">
        <v>654</v>
      </c>
      <c r="C37" s="9" t="s">
        <v>655</v>
      </c>
      <c r="D37" s="9" t="n">
        <v>2026</v>
      </c>
      <c r="E37" s="9" t="s">
        <v>208</v>
      </c>
      <c r="F37" s="9" t="s">
        <v>656</v>
      </c>
      <c r="G37" s="9" t="s">
        <v>527</v>
      </c>
      <c r="H37" s="9" t="s">
        <v>25</v>
      </c>
      <c r="I37" s="9" t="s">
        <v>657</v>
      </c>
    </row>
    <row r="38" customFormat="false" ht="39" hidden="false" customHeight="true" outlineLevel="0" collapsed="false">
      <c r="A38" s="10" t="s">
        <v>658</v>
      </c>
      <c r="B38" s="10" t="s">
        <v>154</v>
      </c>
      <c r="C38" s="10" t="s">
        <v>659</v>
      </c>
      <c r="D38" s="10" t="n">
        <v>2026</v>
      </c>
      <c r="E38" s="10" t="s">
        <v>208</v>
      </c>
      <c r="F38" s="10" t="s">
        <v>660</v>
      </c>
      <c r="G38" s="10" t="s">
        <v>527</v>
      </c>
      <c r="H38" s="10" t="s">
        <v>25</v>
      </c>
      <c r="I38" s="10" t="s">
        <v>661</v>
      </c>
    </row>
    <row r="39" customFormat="false" ht="39" hidden="false" customHeight="true" outlineLevel="0" collapsed="false">
      <c r="A39" s="9" t="s">
        <v>662</v>
      </c>
      <c r="B39" s="9" t="s">
        <v>663</v>
      </c>
      <c r="C39" s="9" t="s">
        <v>664</v>
      </c>
      <c r="D39" s="9" t="n">
        <v>2026</v>
      </c>
      <c r="E39" s="9" t="s">
        <v>665</v>
      </c>
      <c r="F39" s="9" t="s">
        <v>666</v>
      </c>
      <c r="G39" s="9" t="s">
        <v>507</v>
      </c>
      <c r="H39" s="9" t="s">
        <v>25</v>
      </c>
      <c r="I39" s="9" t="s">
        <v>667</v>
      </c>
    </row>
    <row r="40" customFormat="false" ht="39" hidden="false" customHeight="true" outlineLevel="0" collapsed="false">
      <c r="A40" s="10" t="s">
        <v>662</v>
      </c>
      <c r="B40" s="10" t="s">
        <v>663</v>
      </c>
      <c r="C40" s="10" t="s">
        <v>664</v>
      </c>
      <c r="D40" s="10" t="n">
        <v>2026</v>
      </c>
      <c r="E40" s="10" t="s">
        <v>665</v>
      </c>
      <c r="F40" s="10" t="s">
        <v>666</v>
      </c>
      <c r="G40" s="10" t="s">
        <v>527</v>
      </c>
      <c r="H40" s="10" t="s">
        <v>25</v>
      </c>
      <c r="I40" s="10" t="s">
        <v>667</v>
      </c>
    </row>
    <row r="41" customFormat="false" ht="39" hidden="false" customHeight="true" outlineLevel="0" collapsed="false">
      <c r="A41" s="9" t="s">
        <v>668</v>
      </c>
      <c r="B41" s="9" t="s">
        <v>669</v>
      </c>
      <c r="C41" s="9" t="s">
        <v>670</v>
      </c>
      <c r="D41" s="9" t="n">
        <v>2026</v>
      </c>
      <c r="E41" s="9" t="s">
        <v>671</v>
      </c>
      <c r="F41" s="9" t="s">
        <v>672</v>
      </c>
      <c r="G41" s="9" t="s">
        <v>527</v>
      </c>
      <c r="H41" s="9" t="s">
        <v>25</v>
      </c>
      <c r="I41" s="9" t="s">
        <v>673</v>
      </c>
    </row>
    <row r="42" customFormat="false" ht="39" hidden="false" customHeight="true" outlineLevel="0" collapsed="false">
      <c r="A42" s="10" t="s">
        <v>674</v>
      </c>
      <c r="B42" s="10" t="s">
        <v>675</v>
      </c>
      <c r="C42" s="10" t="s">
        <v>676</v>
      </c>
      <c r="D42" s="10" t="n">
        <v>2026</v>
      </c>
      <c r="E42" s="10" t="s">
        <v>81</v>
      </c>
      <c r="F42" s="10" t="s">
        <v>677</v>
      </c>
      <c r="G42" s="10" t="s">
        <v>527</v>
      </c>
      <c r="H42" s="10" t="s">
        <v>25</v>
      </c>
      <c r="I42" s="10" t="s">
        <v>678</v>
      </c>
    </row>
    <row r="43" customFormat="false" ht="25.5" hidden="false" customHeight="true" outlineLevel="0" collapsed="false">
      <c r="A43" s="9" t="s">
        <v>679</v>
      </c>
      <c r="B43" s="9" t="s">
        <v>680</v>
      </c>
      <c r="C43" s="9" t="s">
        <v>681</v>
      </c>
      <c r="D43" s="9" t="n">
        <v>2026</v>
      </c>
      <c r="E43" s="9" t="s">
        <v>682</v>
      </c>
      <c r="F43" s="9" t="s">
        <v>683</v>
      </c>
      <c r="G43" s="9" t="s">
        <v>507</v>
      </c>
      <c r="H43" s="9" t="s">
        <v>335</v>
      </c>
      <c r="I43" s="9" t="s">
        <v>684</v>
      </c>
    </row>
    <row r="44" customFormat="false" ht="39" hidden="false" customHeight="true" outlineLevel="0" collapsed="false">
      <c r="A44" s="10" t="s">
        <v>685</v>
      </c>
      <c r="B44" s="10" t="s">
        <v>686</v>
      </c>
      <c r="C44" s="10" t="s">
        <v>687</v>
      </c>
      <c r="D44" s="10" t="n">
        <v>2026</v>
      </c>
      <c r="E44" s="10" t="s">
        <v>538</v>
      </c>
      <c r="F44" s="10" t="s">
        <v>688</v>
      </c>
      <c r="G44" s="10" t="s">
        <v>507</v>
      </c>
      <c r="H44" s="10" t="s">
        <v>25</v>
      </c>
      <c r="I44" s="10" t="s">
        <v>689</v>
      </c>
    </row>
    <row r="45" customFormat="false" ht="39" hidden="false" customHeight="true" outlineLevel="0" collapsed="false">
      <c r="A45" s="9" t="s">
        <v>685</v>
      </c>
      <c r="B45" s="9" t="s">
        <v>686</v>
      </c>
      <c r="C45" s="9" t="s">
        <v>687</v>
      </c>
      <c r="D45" s="9" t="n">
        <v>2026</v>
      </c>
      <c r="E45" s="9" t="s">
        <v>538</v>
      </c>
      <c r="F45" s="9" t="s">
        <v>688</v>
      </c>
      <c r="G45" s="9" t="s">
        <v>527</v>
      </c>
      <c r="H45" s="9" t="s">
        <v>25</v>
      </c>
      <c r="I45" s="9" t="s">
        <v>689</v>
      </c>
    </row>
    <row r="46" customFormat="false" ht="78" hidden="false" customHeight="true" outlineLevel="0" collapsed="false">
      <c r="A46" s="10" t="s">
        <v>690</v>
      </c>
      <c r="B46" s="10" t="s">
        <v>691</v>
      </c>
      <c r="C46" s="10" t="s">
        <v>692</v>
      </c>
      <c r="D46" s="10" t="n">
        <v>2026</v>
      </c>
      <c r="E46" s="10" t="s">
        <v>693</v>
      </c>
      <c r="F46" s="10" t="s">
        <v>694</v>
      </c>
      <c r="G46" s="10" t="s">
        <v>507</v>
      </c>
      <c r="H46" s="10" t="s">
        <v>25</v>
      </c>
      <c r="I46" s="10" t="s">
        <v>695</v>
      </c>
    </row>
    <row r="47" customFormat="false" ht="78" hidden="false" customHeight="true" outlineLevel="0" collapsed="false">
      <c r="A47" s="9" t="s">
        <v>690</v>
      </c>
      <c r="B47" s="9" t="s">
        <v>691</v>
      </c>
      <c r="C47" s="9" t="s">
        <v>692</v>
      </c>
      <c r="D47" s="9" t="n">
        <v>2026</v>
      </c>
      <c r="E47" s="9" t="s">
        <v>693</v>
      </c>
      <c r="F47" s="9" t="s">
        <v>694</v>
      </c>
      <c r="G47" s="9" t="s">
        <v>527</v>
      </c>
      <c r="H47" s="9" t="s">
        <v>25</v>
      </c>
      <c r="I47" s="9" t="s">
        <v>695</v>
      </c>
    </row>
    <row r="48" customFormat="false" ht="39" hidden="false" customHeight="true" outlineLevel="0" collapsed="false">
      <c r="A48" s="10" t="s">
        <v>696</v>
      </c>
      <c r="B48" s="10" t="s">
        <v>697</v>
      </c>
      <c r="C48" s="10" t="s">
        <v>698</v>
      </c>
      <c r="D48" s="10" t="n">
        <v>2026</v>
      </c>
      <c r="E48" s="10" t="s">
        <v>699</v>
      </c>
      <c r="F48" s="10" t="s">
        <v>700</v>
      </c>
      <c r="G48" s="10" t="s">
        <v>527</v>
      </c>
      <c r="H48" s="10" t="s">
        <v>25</v>
      </c>
      <c r="I48" s="10" t="s">
        <v>701</v>
      </c>
    </row>
    <row r="49" customFormat="false" ht="39" hidden="false" customHeight="true" outlineLevel="0" collapsed="false">
      <c r="A49" s="9" t="s">
        <v>702</v>
      </c>
      <c r="B49" s="9" t="s">
        <v>703</v>
      </c>
      <c r="C49" s="9" t="s">
        <v>704</v>
      </c>
      <c r="D49" s="9" t="n">
        <v>2026</v>
      </c>
      <c r="E49" s="9" t="s">
        <v>705</v>
      </c>
      <c r="F49" s="9" t="s">
        <v>706</v>
      </c>
      <c r="G49" s="9" t="s">
        <v>507</v>
      </c>
      <c r="H49" s="9" t="s">
        <v>514</v>
      </c>
      <c r="I49" s="9" t="s">
        <v>707</v>
      </c>
    </row>
    <row r="50" customFormat="false" ht="39" hidden="false" customHeight="true" outlineLevel="0" collapsed="false">
      <c r="A50" s="10" t="s">
        <v>708</v>
      </c>
      <c r="B50" s="10" t="s">
        <v>709</v>
      </c>
      <c r="C50" s="10" t="s">
        <v>710</v>
      </c>
      <c r="D50" s="10" t="n">
        <v>2026</v>
      </c>
      <c r="E50" s="10" t="s">
        <v>711</v>
      </c>
      <c r="F50" s="10" t="s">
        <v>712</v>
      </c>
      <c r="G50" s="10" t="s">
        <v>527</v>
      </c>
      <c r="H50" s="10" t="s">
        <v>25</v>
      </c>
      <c r="I50" s="10" t="s">
        <v>713</v>
      </c>
    </row>
    <row r="51" customFormat="false" ht="25.5" hidden="false" customHeight="true" outlineLevel="0" collapsed="false">
      <c r="A51" s="9" t="s">
        <v>714</v>
      </c>
      <c r="B51" s="9" t="s">
        <v>715</v>
      </c>
      <c r="C51" s="9" t="s">
        <v>716</v>
      </c>
      <c r="D51" s="9" t="n">
        <v>2026</v>
      </c>
      <c r="E51" s="9" t="s">
        <v>717</v>
      </c>
      <c r="F51" s="9" t="s">
        <v>718</v>
      </c>
      <c r="G51" s="9" t="s">
        <v>527</v>
      </c>
      <c r="H51" s="9" t="s">
        <v>25</v>
      </c>
      <c r="I51" s="9" t="s">
        <v>719</v>
      </c>
    </row>
    <row r="52" customFormat="false" ht="39" hidden="false" customHeight="true" outlineLevel="0" collapsed="false">
      <c r="A52" s="10" t="s">
        <v>720</v>
      </c>
      <c r="B52" s="10" t="s">
        <v>686</v>
      </c>
      <c r="C52" s="10" t="s">
        <v>721</v>
      </c>
      <c r="D52" s="10" t="n">
        <v>2026</v>
      </c>
      <c r="E52" s="10" t="s">
        <v>722</v>
      </c>
      <c r="F52" s="10" t="s">
        <v>723</v>
      </c>
      <c r="G52" s="10" t="s">
        <v>507</v>
      </c>
      <c r="H52" s="10" t="s">
        <v>335</v>
      </c>
      <c r="I52" s="10" t="s">
        <v>724</v>
      </c>
    </row>
    <row r="53" customFormat="false" ht="39" hidden="false" customHeight="true" outlineLevel="0" collapsed="false">
      <c r="A53" s="9" t="s">
        <v>720</v>
      </c>
      <c r="B53" s="9" t="s">
        <v>686</v>
      </c>
      <c r="C53" s="9" t="s">
        <v>721</v>
      </c>
      <c r="D53" s="9" t="n">
        <v>2026</v>
      </c>
      <c r="E53" s="9" t="s">
        <v>722</v>
      </c>
      <c r="F53" s="9" t="s">
        <v>723</v>
      </c>
      <c r="G53" s="9" t="s">
        <v>527</v>
      </c>
      <c r="H53" s="9" t="s">
        <v>335</v>
      </c>
      <c r="I53" s="9" t="s">
        <v>724</v>
      </c>
    </row>
    <row r="54" customFormat="false" ht="39" hidden="false" customHeight="true" outlineLevel="0" collapsed="false">
      <c r="A54" s="10" t="s">
        <v>725</v>
      </c>
      <c r="B54" s="10" t="s">
        <v>686</v>
      </c>
      <c r="C54" s="10" t="s">
        <v>726</v>
      </c>
      <c r="D54" s="10" t="n">
        <v>2026</v>
      </c>
      <c r="E54" s="10" t="s">
        <v>727</v>
      </c>
      <c r="F54" s="10" t="s">
        <v>728</v>
      </c>
      <c r="G54" s="10" t="s">
        <v>507</v>
      </c>
      <c r="H54" s="10" t="s">
        <v>25</v>
      </c>
      <c r="I54" s="10" t="s">
        <v>729</v>
      </c>
    </row>
    <row r="55" customFormat="false" ht="25.5" hidden="false" customHeight="true" outlineLevel="0" collapsed="false">
      <c r="A55" s="9" t="s">
        <v>730</v>
      </c>
      <c r="B55" s="9" t="s">
        <v>731</v>
      </c>
      <c r="C55" s="9" t="s">
        <v>732</v>
      </c>
      <c r="D55" s="9" t="n">
        <v>2026</v>
      </c>
      <c r="E55" s="9" t="s">
        <v>538</v>
      </c>
      <c r="F55" s="9" t="s">
        <v>733</v>
      </c>
      <c r="G55" s="9" t="s">
        <v>527</v>
      </c>
      <c r="H55" s="9" t="s">
        <v>25</v>
      </c>
      <c r="I55" s="9" t="s">
        <v>734</v>
      </c>
    </row>
    <row r="56" customFormat="false" ht="39" hidden="false" customHeight="true" outlineLevel="0" collapsed="false">
      <c r="A56" s="10" t="s">
        <v>735</v>
      </c>
      <c r="B56" s="10" t="s">
        <v>736</v>
      </c>
      <c r="C56" s="10" t="s">
        <v>737</v>
      </c>
      <c r="D56" s="10" t="n">
        <v>2026</v>
      </c>
      <c r="E56" s="10" t="s">
        <v>254</v>
      </c>
      <c r="F56" s="10" t="s">
        <v>738</v>
      </c>
      <c r="G56" s="10" t="s">
        <v>507</v>
      </c>
      <c r="H56" s="10" t="s">
        <v>335</v>
      </c>
      <c r="I56" s="10" t="s">
        <v>739</v>
      </c>
    </row>
    <row r="57" customFormat="false" ht="39" hidden="false" customHeight="true" outlineLevel="0" collapsed="false">
      <c r="A57" s="9" t="s">
        <v>740</v>
      </c>
      <c r="B57" s="9" t="s">
        <v>741</v>
      </c>
      <c r="C57" s="9" t="s">
        <v>742</v>
      </c>
      <c r="D57" s="9" t="n">
        <v>2026</v>
      </c>
      <c r="E57" s="9" t="s">
        <v>743</v>
      </c>
      <c r="F57" s="9" t="s">
        <v>744</v>
      </c>
      <c r="G57" s="9" t="s">
        <v>507</v>
      </c>
      <c r="H57" s="9" t="s">
        <v>335</v>
      </c>
      <c r="I57" s="9" t="s">
        <v>745</v>
      </c>
    </row>
    <row r="58" customFormat="false" ht="25.5" hidden="false" customHeight="true" outlineLevel="0" collapsed="false">
      <c r="A58" s="10" t="s">
        <v>746</v>
      </c>
      <c r="B58" s="10" t="s">
        <v>747</v>
      </c>
      <c r="C58" s="10" t="s">
        <v>748</v>
      </c>
      <c r="D58" s="10" t="n">
        <v>2025</v>
      </c>
      <c r="E58" s="10" t="s">
        <v>107</v>
      </c>
      <c r="F58" s="10" t="s">
        <v>749</v>
      </c>
      <c r="G58" s="10" t="s">
        <v>507</v>
      </c>
      <c r="H58" s="10" t="s">
        <v>25</v>
      </c>
      <c r="I58" s="10" t="s">
        <v>750</v>
      </c>
    </row>
    <row r="59" customFormat="false" ht="25.5" hidden="false" customHeight="true" outlineLevel="0" collapsed="false">
      <c r="A59" s="9" t="s">
        <v>746</v>
      </c>
      <c r="B59" s="9" t="s">
        <v>747</v>
      </c>
      <c r="C59" s="9" t="s">
        <v>748</v>
      </c>
      <c r="D59" s="9" t="n">
        <v>2025</v>
      </c>
      <c r="E59" s="9" t="s">
        <v>107</v>
      </c>
      <c r="F59" s="9" t="s">
        <v>749</v>
      </c>
      <c r="G59" s="9" t="s">
        <v>527</v>
      </c>
      <c r="H59" s="9" t="s">
        <v>25</v>
      </c>
      <c r="I59" s="9" t="s">
        <v>750</v>
      </c>
    </row>
    <row r="60" customFormat="false" ht="25.5" hidden="false" customHeight="true" outlineLevel="0" collapsed="false">
      <c r="A60" s="10" t="s">
        <v>751</v>
      </c>
      <c r="B60" s="10" t="s">
        <v>752</v>
      </c>
      <c r="C60" s="10" t="s">
        <v>753</v>
      </c>
      <c r="D60" s="10" t="n">
        <v>2025</v>
      </c>
      <c r="E60" s="10" t="s">
        <v>107</v>
      </c>
      <c r="F60" s="10" t="s">
        <v>754</v>
      </c>
      <c r="G60" s="10" t="s">
        <v>507</v>
      </c>
      <c r="H60" s="10" t="s">
        <v>25</v>
      </c>
      <c r="I60" s="10" t="s">
        <v>755</v>
      </c>
    </row>
    <row r="61" customFormat="false" ht="25.5" hidden="false" customHeight="true" outlineLevel="0" collapsed="false">
      <c r="A61" s="9" t="s">
        <v>751</v>
      </c>
      <c r="B61" s="9" t="s">
        <v>752</v>
      </c>
      <c r="C61" s="9" t="s">
        <v>753</v>
      </c>
      <c r="D61" s="9" t="n">
        <v>2025</v>
      </c>
      <c r="E61" s="9" t="s">
        <v>107</v>
      </c>
      <c r="F61" s="9" t="s">
        <v>754</v>
      </c>
      <c r="G61" s="9" t="s">
        <v>527</v>
      </c>
      <c r="H61" s="9" t="s">
        <v>25</v>
      </c>
      <c r="I61" s="9" t="s">
        <v>755</v>
      </c>
    </row>
    <row r="62" customFormat="false" ht="39" hidden="false" customHeight="true" outlineLevel="0" collapsed="false">
      <c r="A62" s="10" t="s">
        <v>756</v>
      </c>
      <c r="B62" s="10" t="s">
        <v>757</v>
      </c>
      <c r="C62" s="10" t="s">
        <v>758</v>
      </c>
      <c r="D62" s="10" t="n">
        <v>2025</v>
      </c>
      <c r="E62" s="10" t="s">
        <v>107</v>
      </c>
      <c r="F62" s="10" t="s">
        <v>759</v>
      </c>
      <c r="G62" s="10" t="s">
        <v>507</v>
      </c>
      <c r="H62" s="10" t="s">
        <v>25</v>
      </c>
      <c r="I62" s="10" t="s">
        <v>760</v>
      </c>
    </row>
    <row r="63" customFormat="false" ht="39" hidden="false" customHeight="true" outlineLevel="0" collapsed="false">
      <c r="A63" s="9" t="s">
        <v>756</v>
      </c>
      <c r="B63" s="9" t="s">
        <v>757</v>
      </c>
      <c r="C63" s="9" t="s">
        <v>758</v>
      </c>
      <c r="D63" s="9" t="n">
        <v>2025</v>
      </c>
      <c r="E63" s="9" t="s">
        <v>107</v>
      </c>
      <c r="F63" s="9" t="s">
        <v>759</v>
      </c>
      <c r="G63" s="9" t="s">
        <v>527</v>
      </c>
      <c r="H63" s="9" t="s">
        <v>25</v>
      </c>
      <c r="I63" s="9" t="s">
        <v>760</v>
      </c>
    </row>
    <row r="64" customFormat="false" ht="25.5" hidden="false" customHeight="true" outlineLevel="0" collapsed="false">
      <c r="A64" s="10" t="s">
        <v>761</v>
      </c>
      <c r="B64" s="10" t="s">
        <v>57</v>
      </c>
      <c r="C64" s="10" t="s">
        <v>56</v>
      </c>
      <c r="D64" s="10" t="n">
        <v>2025</v>
      </c>
      <c r="E64" s="10" t="s">
        <v>58</v>
      </c>
      <c r="F64" s="10" t="s">
        <v>59</v>
      </c>
      <c r="G64" s="10" t="s">
        <v>527</v>
      </c>
      <c r="H64" s="10" t="s">
        <v>25</v>
      </c>
      <c r="I64" s="10" t="s">
        <v>762</v>
      </c>
    </row>
    <row r="65" customFormat="false" ht="25.5" hidden="false" customHeight="true" outlineLevel="0" collapsed="false">
      <c r="A65" s="9" t="s">
        <v>763</v>
      </c>
      <c r="B65" s="9" t="s">
        <v>764</v>
      </c>
      <c r="C65" s="9" t="s">
        <v>765</v>
      </c>
      <c r="D65" s="9" t="n">
        <v>2025</v>
      </c>
      <c r="E65" s="9" t="s">
        <v>766</v>
      </c>
      <c r="F65" s="9" t="s">
        <v>767</v>
      </c>
      <c r="G65" s="9" t="s">
        <v>507</v>
      </c>
      <c r="H65" s="9" t="s">
        <v>514</v>
      </c>
      <c r="I65" s="9" t="s">
        <v>768</v>
      </c>
    </row>
    <row r="66" customFormat="false" ht="103.5" hidden="false" customHeight="true" outlineLevel="0" collapsed="false">
      <c r="A66" s="10" t="s">
        <v>769</v>
      </c>
      <c r="B66" s="10" t="s">
        <v>275</v>
      </c>
      <c r="C66" s="10" t="s">
        <v>274</v>
      </c>
      <c r="D66" s="10" t="n">
        <v>2025</v>
      </c>
      <c r="E66" s="10" t="s">
        <v>276</v>
      </c>
      <c r="F66" s="10" t="s">
        <v>277</v>
      </c>
      <c r="G66" s="10" t="s">
        <v>507</v>
      </c>
      <c r="H66" s="10" t="s">
        <v>25</v>
      </c>
      <c r="I66" s="10" t="s">
        <v>770</v>
      </c>
    </row>
    <row r="67" customFormat="false" ht="103.5" hidden="false" customHeight="true" outlineLevel="0" collapsed="false">
      <c r="A67" s="9" t="s">
        <v>769</v>
      </c>
      <c r="B67" s="9" t="s">
        <v>275</v>
      </c>
      <c r="C67" s="9" t="s">
        <v>274</v>
      </c>
      <c r="D67" s="9" t="n">
        <v>2025</v>
      </c>
      <c r="E67" s="9" t="s">
        <v>276</v>
      </c>
      <c r="F67" s="9" t="s">
        <v>277</v>
      </c>
      <c r="G67" s="9" t="s">
        <v>527</v>
      </c>
      <c r="H67" s="9" t="s">
        <v>25</v>
      </c>
      <c r="I67" s="9" t="s">
        <v>770</v>
      </c>
    </row>
    <row r="68" customFormat="false" ht="39" hidden="false" customHeight="true" outlineLevel="0" collapsed="false">
      <c r="A68" s="10" t="s">
        <v>771</v>
      </c>
      <c r="B68" s="10" t="s">
        <v>772</v>
      </c>
      <c r="C68" s="10" t="s">
        <v>773</v>
      </c>
      <c r="D68" s="10" t="n">
        <v>2025</v>
      </c>
      <c r="E68" s="10" t="s">
        <v>774</v>
      </c>
      <c r="F68" s="10" t="s">
        <v>775</v>
      </c>
      <c r="G68" s="10" t="s">
        <v>527</v>
      </c>
      <c r="H68" s="10" t="s">
        <v>25</v>
      </c>
      <c r="I68" s="10" t="s">
        <v>776</v>
      </c>
    </row>
    <row r="69" customFormat="false" ht="25.5" hidden="false" customHeight="true" outlineLevel="0" collapsed="false">
      <c r="A69" s="9" t="s">
        <v>777</v>
      </c>
      <c r="B69" s="9" t="s">
        <v>778</v>
      </c>
      <c r="C69" s="9" t="s">
        <v>210</v>
      </c>
      <c r="D69" s="9" t="n">
        <v>2025</v>
      </c>
      <c r="E69" s="9" t="s">
        <v>155</v>
      </c>
      <c r="F69" s="9" t="s">
        <v>212</v>
      </c>
      <c r="G69" s="9" t="s">
        <v>507</v>
      </c>
      <c r="H69" s="9" t="s">
        <v>25</v>
      </c>
      <c r="I69" s="9" t="s">
        <v>779</v>
      </c>
    </row>
    <row r="70" customFormat="false" ht="39" hidden="false" customHeight="true" outlineLevel="0" collapsed="false">
      <c r="A70" s="10" t="s">
        <v>780</v>
      </c>
      <c r="B70" s="10" t="s">
        <v>195</v>
      </c>
      <c r="C70" s="10" t="s">
        <v>781</v>
      </c>
      <c r="D70" s="10" t="n">
        <v>2025</v>
      </c>
      <c r="E70" s="10" t="s">
        <v>81</v>
      </c>
      <c r="F70" s="10" t="s">
        <v>782</v>
      </c>
      <c r="G70" s="10" t="s">
        <v>527</v>
      </c>
      <c r="H70" s="10" t="s">
        <v>25</v>
      </c>
      <c r="I70" s="10" t="s">
        <v>783</v>
      </c>
    </row>
    <row r="71" customFormat="false" ht="25.5" hidden="false" customHeight="true" outlineLevel="0" collapsed="false">
      <c r="A71" s="9" t="s">
        <v>784</v>
      </c>
      <c r="B71" s="9" t="s">
        <v>195</v>
      </c>
      <c r="C71" s="9" t="s">
        <v>785</v>
      </c>
      <c r="D71" s="9" t="n">
        <v>2025</v>
      </c>
      <c r="E71" s="9" t="s">
        <v>786</v>
      </c>
      <c r="F71" s="9" t="s">
        <v>787</v>
      </c>
      <c r="G71" s="9" t="s">
        <v>507</v>
      </c>
      <c r="H71" s="9" t="s">
        <v>25</v>
      </c>
      <c r="I71" s="9" t="s">
        <v>788</v>
      </c>
    </row>
    <row r="72" customFormat="false" ht="25.5" hidden="false" customHeight="true" outlineLevel="0" collapsed="false">
      <c r="A72" s="10" t="s">
        <v>784</v>
      </c>
      <c r="B72" s="10" t="s">
        <v>195</v>
      </c>
      <c r="C72" s="10" t="s">
        <v>785</v>
      </c>
      <c r="D72" s="10" t="n">
        <v>2025</v>
      </c>
      <c r="E72" s="10" t="s">
        <v>786</v>
      </c>
      <c r="F72" s="10" t="s">
        <v>787</v>
      </c>
      <c r="G72" s="10" t="s">
        <v>527</v>
      </c>
      <c r="H72" s="10" t="s">
        <v>25</v>
      </c>
      <c r="I72" s="10" t="s">
        <v>788</v>
      </c>
    </row>
    <row r="73" customFormat="false" ht="64.5" hidden="false" customHeight="true" outlineLevel="0" collapsed="false">
      <c r="A73" s="9" t="s">
        <v>789</v>
      </c>
      <c r="B73" s="9" t="s">
        <v>271</v>
      </c>
      <c r="C73" s="9" t="s">
        <v>270</v>
      </c>
      <c r="D73" s="9" t="n">
        <v>2025</v>
      </c>
      <c r="E73" s="9" t="s">
        <v>272</v>
      </c>
      <c r="F73" s="9" t="s">
        <v>273</v>
      </c>
      <c r="G73" s="9" t="s">
        <v>507</v>
      </c>
      <c r="H73" s="9" t="s">
        <v>25</v>
      </c>
      <c r="I73" s="9" t="s">
        <v>790</v>
      </c>
    </row>
    <row r="74" customFormat="false" ht="64.5" hidden="false" customHeight="true" outlineLevel="0" collapsed="false">
      <c r="A74" s="10" t="s">
        <v>789</v>
      </c>
      <c r="B74" s="10" t="s">
        <v>271</v>
      </c>
      <c r="C74" s="10" t="s">
        <v>270</v>
      </c>
      <c r="D74" s="10" t="n">
        <v>2025</v>
      </c>
      <c r="E74" s="10" t="s">
        <v>272</v>
      </c>
      <c r="F74" s="10" t="s">
        <v>273</v>
      </c>
      <c r="G74" s="10" t="s">
        <v>527</v>
      </c>
      <c r="H74" s="10" t="s">
        <v>25</v>
      </c>
      <c r="I74" s="10" t="s">
        <v>790</v>
      </c>
    </row>
    <row r="75" customFormat="false" ht="51.75" hidden="false" customHeight="true" outlineLevel="0" collapsed="false">
      <c r="A75" s="9" t="s">
        <v>791</v>
      </c>
      <c r="B75" s="9" t="s">
        <v>792</v>
      </c>
      <c r="C75" s="9" t="s">
        <v>793</v>
      </c>
      <c r="D75" s="9" t="n">
        <v>2025</v>
      </c>
      <c r="E75" s="9" t="s">
        <v>276</v>
      </c>
      <c r="F75" s="9" t="s">
        <v>794</v>
      </c>
      <c r="G75" s="9" t="s">
        <v>507</v>
      </c>
      <c r="H75" s="9" t="s">
        <v>25</v>
      </c>
      <c r="I75" s="9" t="s">
        <v>795</v>
      </c>
    </row>
    <row r="76" customFormat="false" ht="51.75" hidden="false" customHeight="true" outlineLevel="0" collapsed="false">
      <c r="A76" s="10" t="s">
        <v>791</v>
      </c>
      <c r="B76" s="10" t="s">
        <v>792</v>
      </c>
      <c r="C76" s="10" t="s">
        <v>793</v>
      </c>
      <c r="D76" s="10" t="n">
        <v>2025</v>
      </c>
      <c r="E76" s="10" t="s">
        <v>276</v>
      </c>
      <c r="F76" s="10" t="s">
        <v>794</v>
      </c>
      <c r="G76" s="10" t="s">
        <v>527</v>
      </c>
      <c r="H76" s="10" t="s">
        <v>25</v>
      </c>
      <c r="I76" s="10" t="s">
        <v>795</v>
      </c>
    </row>
    <row r="77" customFormat="false" ht="25.5" hidden="false" customHeight="true" outlineLevel="0" collapsed="false">
      <c r="A77" s="9" t="s">
        <v>796</v>
      </c>
      <c r="B77" s="9" t="s">
        <v>234</v>
      </c>
      <c r="C77" s="9" t="s">
        <v>233</v>
      </c>
      <c r="D77" s="9" t="n">
        <v>2025</v>
      </c>
      <c r="E77" s="9" t="s">
        <v>235</v>
      </c>
      <c r="F77" s="9" t="s">
        <v>236</v>
      </c>
      <c r="G77" s="9" t="s">
        <v>507</v>
      </c>
      <c r="H77" s="9" t="s">
        <v>25</v>
      </c>
      <c r="I77" s="9" t="s">
        <v>797</v>
      </c>
    </row>
    <row r="78" customFormat="false" ht="25.5" hidden="false" customHeight="true" outlineLevel="0" collapsed="false">
      <c r="A78" s="10" t="s">
        <v>796</v>
      </c>
      <c r="B78" s="10" t="s">
        <v>234</v>
      </c>
      <c r="C78" s="10" t="s">
        <v>233</v>
      </c>
      <c r="D78" s="10" t="n">
        <v>2025</v>
      </c>
      <c r="E78" s="10" t="s">
        <v>235</v>
      </c>
      <c r="F78" s="10" t="s">
        <v>236</v>
      </c>
      <c r="G78" s="10" t="s">
        <v>527</v>
      </c>
      <c r="H78" s="10" t="s">
        <v>25</v>
      </c>
      <c r="I78" s="10" t="s">
        <v>797</v>
      </c>
    </row>
    <row r="79" customFormat="false" ht="25.5" hidden="false" customHeight="true" outlineLevel="0" collapsed="false">
      <c r="A79" s="9" t="s">
        <v>798</v>
      </c>
      <c r="B79" s="9" t="s">
        <v>329</v>
      </c>
      <c r="C79" s="9" t="s">
        <v>328</v>
      </c>
      <c r="D79" s="9" t="n">
        <v>2025</v>
      </c>
      <c r="E79" s="9" t="s">
        <v>276</v>
      </c>
      <c r="F79" s="9" t="s">
        <v>330</v>
      </c>
      <c r="G79" s="9" t="s">
        <v>507</v>
      </c>
      <c r="H79" s="9" t="s">
        <v>25</v>
      </c>
      <c r="I79" s="9" t="s">
        <v>799</v>
      </c>
    </row>
    <row r="80" customFormat="false" ht="25.5" hidden="false" customHeight="true" outlineLevel="0" collapsed="false">
      <c r="A80" s="10" t="s">
        <v>798</v>
      </c>
      <c r="B80" s="10" t="s">
        <v>329</v>
      </c>
      <c r="C80" s="10" t="s">
        <v>328</v>
      </c>
      <c r="D80" s="10" t="n">
        <v>2025</v>
      </c>
      <c r="E80" s="10" t="s">
        <v>276</v>
      </c>
      <c r="F80" s="10" t="s">
        <v>330</v>
      </c>
      <c r="G80" s="10" t="s">
        <v>527</v>
      </c>
      <c r="H80" s="10" t="s">
        <v>25</v>
      </c>
      <c r="I80" s="10" t="s">
        <v>799</v>
      </c>
    </row>
    <row r="81" customFormat="false" ht="51.75" hidden="false" customHeight="true" outlineLevel="0" collapsed="false">
      <c r="A81" s="9" t="s">
        <v>800</v>
      </c>
      <c r="B81" s="9" t="s">
        <v>801</v>
      </c>
      <c r="C81" s="9" t="s">
        <v>802</v>
      </c>
      <c r="D81" s="9" t="n">
        <v>2025</v>
      </c>
      <c r="E81" s="9" t="s">
        <v>803</v>
      </c>
      <c r="F81" s="9" t="s">
        <v>804</v>
      </c>
      <c r="G81" s="9" t="s">
        <v>507</v>
      </c>
      <c r="H81" s="9" t="s">
        <v>335</v>
      </c>
      <c r="I81" s="9" t="s">
        <v>805</v>
      </c>
    </row>
    <row r="82" customFormat="false" ht="39" hidden="false" customHeight="true" outlineLevel="0" collapsed="false">
      <c r="A82" s="10" t="s">
        <v>806</v>
      </c>
      <c r="B82" s="10" t="s">
        <v>807</v>
      </c>
      <c r="C82" s="10" t="s">
        <v>808</v>
      </c>
      <c r="D82" s="10" t="n">
        <v>2025</v>
      </c>
      <c r="E82" s="10" t="s">
        <v>532</v>
      </c>
      <c r="F82" s="10" t="s">
        <v>809</v>
      </c>
      <c r="G82" s="10" t="s">
        <v>527</v>
      </c>
      <c r="H82" s="10" t="s">
        <v>335</v>
      </c>
      <c r="I82" s="10" t="s">
        <v>810</v>
      </c>
    </row>
    <row r="83" customFormat="false" ht="51.75" hidden="false" customHeight="true" outlineLevel="0" collapsed="false">
      <c r="A83" s="9" t="s">
        <v>811</v>
      </c>
      <c r="B83" s="9" t="s">
        <v>122</v>
      </c>
      <c r="C83" s="9" t="s">
        <v>812</v>
      </c>
      <c r="D83" s="9" t="n">
        <v>2025</v>
      </c>
      <c r="E83" s="9" t="s">
        <v>107</v>
      </c>
      <c r="F83" s="9" t="s">
        <v>813</v>
      </c>
      <c r="G83" s="9" t="s">
        <v>507</v>
      </c>
      <c r="H83" s="9" t="s">
        <v>25</v>
      </c>
      <c r="I83" s="9" t="s">
        <v>814</v>
      </c>
    </row>
    <row r="84" customFormat="false" ht="51.75" hidden="false" customHeight="true" outlineLevel="0" collapsed="false">
      <c r="A84" s="10" t="s">
        <v>811</v>
      </c>
      <c r="B84" s="10" t="s">
        <v>122</v>
      </c>
      <c r="C84" s="10" t="s">
        <v>812</v>
      </c>
      <c r="D84" s="10" t="n">
        <v>2025</v>
      </c>
      <c r="E84" s="10" t="s">
        <v>107</v>
      </c>
      <c r="F84" s="10" t="s">
        <v>813</v>
      </c>
      <c r="G84" s="10" t="s">
        <v>527</v>
      </c>
      <c r="H84" s="10" t="s">
        <v>25</v>
      </c>
      <c r="I84" s="10" t="s">
        <v>814</v>
      </c>
    </row>
    <row r="85" customFormat="false" ht="39" hidden="false" customHeight="true" outlineLevel="0" collapsed="false">
      <c r="A85" s="9" t="s">
        <v>815</v>
      </c>
      <c r="B85" s="9" t="s">
        <v>191</v>
      </c>
      <c r="C85" s="9" t="s">
        <v>190</v>
      </c>
      <c r="D85" s="9" t="n">
        <v>2025</v>
      </c>
      <c r="E85" s="9" t="s">
        <v>192</v>
      </c>
      <c r="F85" s="9" t="s">
        <v>193</v>
      </c>
      <c r="G85" s="9" t="s">
        <v>527</v>
      </c>
      <c r="H85" s="9" t="s">
        <v>25</v>
      </c>
      <c r="I85" s="9" t="s">
        <v>816</v>
      </c>
    </row>
    <row r="86" customFormat="false" ht="90.75" hidden="false" customHeight="true" outlineLevel="0" collapsed="false">
      <c r="A86" s="10" t="s">
        <v>817</v>
      </c>
      <c r="B86" s="10" t="s">
        <v>818</v>
      </c>
      <c r="C86" s="10" t="s">
        <v>819</v>
      </c>
      <c r="D86" s="10" t="n">
        <v>2025</v>
      </c>
      <c r="E86" s="10" t="s">
        <v>254</v>
      </c>
      <c r="F86" s="10" t="s">
        <v>820</v>
      </c>
      <c r="G86" s="10" t="s">
        <v>507</v>
      </c>
      <c r="H86" s="10" t="s">
        <v>514</v>
      </c>
      <c r="I86" s="10" t="s">
        <v>821</v>
      </c>
    </row>
    <row r="87" customFormat="false" ht="51.75" hidden="false" customHeight="true" outlineLevel="0" collapsed="false">
      <c r="A87" s="9" t="s">
        <v>822</v>
      </c>
      <c r="B87" s="9" t="s">
        <v>823</v>
      </c>
      <c r="C87" s="9" t="s">
        <v>824</v>
      </c>
      <c r="D87" s="9" t="n">
        <v>2025</v>
      </c>
      <c r="E87" s="9" t="s">
        <v>254</v>
      </c>
      <c r="F87" s="9" t="s">
        <v>825</v>
      </c>
      <c r="G87" s="9" t="s">
        <v>527</v>
      </c>
      <c r="H87" s="9" t="s">
        <v>25</v>
      </c>
      <c r="I87" s="9" t="s">
        <v>826</v>
      </c>
    </row>
    <row r="88" customFormat="false" ht="51.75" hidden="false" customHeight="true" outlineLevel="0" collapsed="false">
      <c r="A88" s="10" t="s">
        <v>827</v>
      </c>
      <c r="B88" s="10" t="s">
        <v>828</v>
      </c>
      <c r="C88" s="10" t="s">
        <v>829</v>
      </c>
      <c r="D88" s="10" t="n">
        <v>2025</v>
      </c>
      <c r="E88" s="10" t="s">
        <v>830</v>
      </c>
      <c r="F88" s="10" t="s">
        <v>831</v>
      </c>
      <c r="G88" s="10" t="s">
        <v>507</v>
      </c>
      <c r="H88" s="10" t="s">
        <v>25</v>
      </c>
      <c r="I88" s="10" t="s">
        <v>832</v>
      </c>
    </row>
    <row r="89" customFormat="false" ht="51.75" hidden="false" customHeight="true" outlineLevel="0" collapsed="false">
      <c r="A89" s="9" t="s">
        <v>827</v>
      </c>
      <c r="B89" s="9" t="s">
        <v>828</v>
      </c>
      <c r="C89" s="9" t="s">
        <v>829</v>
      </c>
      <c r="D89" s="9" t="n">
        <v>2025</v>
      </c>
      <c r="E89" s="9" t="s">
        <v>830</v>
      </c>
      <c r="F89" s="9" t="s">
        <v>831</v>
      </c>
      <c r="G89" s="9" t="s">
        <v>527</v>
      </c>
      <c r="H89" s="9" t="s">
        <v>25</v>
      </c>
      <c r="I89" s="9" t="s">
        <v>832</v>
      </c>
    </row>
    <row r="90" customFormat="false" ht="39" hidden="false" customHeight="true" outlineLevel="0" collapsed="false">
      <c r="A90" s="10" t="s">
        <v>833</v>
      </c>
      <c r="B90" s="10" t="s">
        <v>834</v>
      </c>
      <c r="C90" s="10" t="s">
        <v>835</v>
      </c>
      <c r="D90" s="10" t="n">
        <v>2025</v>
      </c>
      <c r="E90" s="10" t="s">
        <v>836</v>
      </c>
      <c r="F90" s="10" t="s">
        <v>837</v>
      </c>
      <c r="G90" s="10" t="s">
        <v>507</v>
      </c>
      <c r="H90" s="10" t="s">
        <v>514</v>
      </c>
      <c r="I90" s="10" t="s">
        <v>838</v>
      </c>
    </row>
    <row r="91" customFormat="false" ht="90.75" hidden="false" customHeight="true" outlineLevel="0" collapsed="false">
      <c r="A91" s="9" t="s">
        <v>839</v>
      </c>
      <c r="B91" s="9" t="s">
        <v>840</v>
      </c>
      <c r="C91" s="9" t="s">
        <v>841</v>
      </c>
      <c r="D91" s="9" t="n">
        <v>2025</v>
      </c>
      <c r="E91" s="9" t="s">
        <v>215</v>
      </c>
      <c r="F91" s="9" t="s">
        <v>842</v>
      </c>
      <c r="G91" s="9" t="s">
        <v>527</v>
      </c>
      <c r="H91" s="9" t="s">
        <v>25</v>
      </c>
      <c r="I91" s="9" t="s">
        <v>843</v>
      </c>
    </row>
    <row r="92" customFormat="false" ht="39" hidden="false" customHeight="true" outlineLevel="0" collapsed="false">
      <c r="A92" s="10" t="s">
        <v>844</v>
      </c>
      <c r="B92" s="10" t="s">
        <v>845</v>
      </c>
      <c r="C92" s="10" t="s">
        <v>846</v>
      </c>
      <c r="D92" s="10" t="n">
        <v>2025</v>
      </c>
      <c r="E92" s="10" t="s">
        <v>847</v>
      </c>
      <c r="F92" s="10" t="s">
        <v>848</v>
      </c>
      <c r="G92" s="10" t="s">
        <v>527</v>
      </c>
      <c r="H92" s="10" t="s">
        <v>25</v>
      </c>
      <c r="I92" s="10" t="s">
        <v>849</v>
      </c>
    </row>
    <row r="93" customFormat="false" ht="25.5" hidden="false" customHeight="true" outlineLevel="0" collapsed="false">
      <c r="A93" s="9" t="s">
        <v>850</v>
      </c>
      <c r="B93" s="9" t="s">
        <v>851</v>
      </c>
      <c r="C93" s="9" t="s">
        <v>852</v>
      </c>
      <c r="D93" s="9" t="n">
        <v>2025</v>
      </c>
      <c r="E93" s="9" t="s">
        <v>803</v>
      </c>
      <c r="F93" s="9" t="s">
        <v>853</v>
      </c>
      <c r="G93" s="9" t="s">
        <v>527</v>
      </c>
      <c r="H93" s="9" t="s">
        <v>335</v>
      </c>
      <c r="I93" s="9" t="s">
        <v>854</v>
      </c>
    </row>
    <row r="94" customFormat="false" ht="51.75" hidden="false" customHeight="true" outlineLevel="0" collapsed="false">
      <c r="A94" s="10" t="s">
        <v>855</v>
      </c>
      <c r="B94" s="10" t="s">
        <v>245</v>
      </c>
      <c r="C94" s="10" t="s">
        <v>244</v>
      </c>
      <c r="D94" s="10" t="n">
        <v>2025</v>
      </c>
      <c r="E94" s="10" t="s">
        <v>246</v>
      </c>
      <c r="F94" s="10" t="s">
        <v>247</v>
      </c>
      <c r="G94" s="10" t="s">
        <v>507</v>
      </c>
      <c r="H94" s="10" t="s">
        <v>25</v>
      </c>
      <c r="I94" s="10" t="s">
        <v>856</v>
      </c>
    </row>
    <row r="95" customFormat="false" ht="51.75" hidden="false" customHeight="true" outlineLevel="0" collapsed="false">
      <c r="A95" s="9" t="s">
        <v>855</v>
      </c>
      <c r="B95" s="9" t="s">
        <v>245</v>
      </c>
      <c r="C95" s="9" t="s">
        <v>244</v>
      </c>
      <c r="D95" s="9" t="n">
        <v>2025</v>
      </c>
      <c r="E95" s="9" t="s">
        <v>246</v>
      </c>
      <c r="F95" s="9" t="s">
        <v>247</v>
      </c>
      <c r="G95" s="9" t="s">
        <v>527</v>
      </c>
      <c r="H95" s="9" t="s">
        <v>25</v>
      </c>
      <c r="I95" s="9" t="s">
        <v>856</v>
      </c>
    </row>
    <row r="96" customFormat="false" ht="39" hidden="false" customHeight="true" outlineLevel="0" collapsed="false">
      <c r="A96" s="10" t="s">
        <v>857</v>
      </c>
      <c r="B96" s="10" t="s">
        <v>858</v>
      </c>
      <c r="C96" s="10" t="s">
        <v>859</v>
      </c>
      <c r="D96" s="10" t="n">
        <v>2025</v>
      </c>
      <c r="E96" s="10" t="s">
        <v>598</v>
      </c>
      <c r="F96" s="10" t="s">
        <v>860</v>
      </c>
      <c r="G96" s="10" t="s">
        <v>527</v>
      </c>
      <c r="H96" s="10" t="s">
        <v>25</v>
      </c>
      <c r="I96" s="10" t="s">
        <v>861</v>
      </c>
    </row>
    <row r="97" customFormat="false" ht="51.75" hidden="false" customHeight="true" outlineLevel="0" collapsed="false">
      <c r="A97" s="9" t="s">
        <v>862</v>
      </c>
      <c r="B97" s="9" t="s">
        <v>863</v>
      </c>
      <c r="C97" s="9" t="s">
        <v>864</v>
      </c>
      <c r="D97" s="9" t="n">
        <v>2025</v>
      </c>
      <c r="E97" s="9" t="s">
        <v>865</v>
      </c>
      <c r="F97" s="9" t="s">
        <v>866</v>
      </c>
      <c r="G97" s="9" t="s">
        <v>527</v>
      </c>
      <c r="H97" s="9" t="s">
        <v>25</v>
      </c>
      <c r="I97" s="9" t="s">
        <v>867</v>
      </c>
    </row>
    <row r="98" customFormat="false" ht="64.5" hidden="false" customHeight="true" outlineLevel="0" collapsed="false">
      <c r="A98" s="10" t="s">
        <v>868</v>
      </c>
      <c r="B98" s="10" t="s">
        <v>869</v>
      </c>
      <c r="C98" s="10" t="s">
        <v>870</v>
      </c>
      <c r="D98" s="10" t="n">
        <v>2025</v>
      </c>
      <c r="E98" s="10" t="s">
        <v>276</v>
      </c>
      <c r="F98" s="10" t="s">
        <v>871</v>
      </c>
      <c r="G98" s="10" t="s">
        <v>527</v>
      </c>
      <c r="H98" s="10" t="s">
        <v>335</v>
      </c>
      <c r="I98" s="10" t="s">
        <v>872</v>
      </c>
    </row>
    <row r="99" customFormat="false" ht="39" hidden="false" customHeight="true" outlineLevel="0" collapsed="false">
      <c r="A99" s="9" t="s">
        <v>873</v>
      </c>
      <c r="B99" s="9" t="s">
        <v>874</v>
      </c>
      <c r="C99" s="9" t="s">
        <v>875</v>
      </c>
      <c r="D99" s="9" t="n">
        <v>2025</v>
      </c>
      <c r="E99" s="9" t="s">
        <v>876</v>
      </c>
      <c r="F99" s="9"/>
      <c r="G99" s="9" t="s">
        <v>507</v>
      </c>
      <c r="H99" s="9" t="s">
        <v>335</v>
      </c>
      <c r="I99" s="9" t="s">
        <v>877</v>
      </c>
    </row>
    <row r="100" customFormat="false" ht="51.75" hidden="false" customHeight="true" outlineLevel="0" collapsed="false">
      <c r="A100" s="10" t="s">
        <v>878</v>
      </c>
      <c r="B100" s="10" t="s">
        <v>879</v>
      </c>
      <c r="C100" s="10" t="s">
        <v>880</v>
      </c>
      <c r="D100" s="10" t="n">
        <v>2025</v>
      </c>
      <c r="E100" s="10" t="s">
        <v>881</v>
      </c>
      <c r="F100" s="10" t="s">
        <v>882</v>
      </c>
      <c r="G100" s="10" t="s">
        <v>507</v>
      </c>
      <c r="H100" s="10" t="s">
        <v>25</v>
      </c>
      <c r="I100" s="10" t="s">
        <v>883</v>
      </c>
    </row>
    <row r="101" customFormat="false" ht="51.75" hidden="false" customHeight="true" outlineLevel="0" collapsed="false">
      <c r="A101" s="9" t="s">
        <v>884</v>
      </c>
      <c r="B101" s="9" t="s">
        <v>249</v>
      </c>
      <c r="C101" s="9" t="s">
        <v>248</v>
      </c>
      <c r="D101" s="9" t="n">
        <v>2025</v>
      </c>
      <c r="E101" s="9" t="s">
        <v>250</v>
      </c>
      <c r="F101" s="9" t="s">
        <v>251</v>
      </c>
      <c r="G101" s="9" t="s">
        <v>507</v>
      </c>
      <c r="H101" s="9" t="s">
        <v>25</v>
      </c>
      <c r="I101" s="9" t="s">
        <v>885</v>
      </c>
    </row>
    <row r="102" customFormat="false" ht="51.75" hidden="false" customHeight="true" outlineLevel="0" collapsed="false">
      <c r="A102" s="10" t="s">
        <v>884</v>
      </c>
      <c r="B102" s="10" t="s">
        <v>249</v>
      </c>
      <c r="C102" s="10" t="s">
        <v>248</v>
      </c>
      <c r="D102" s="10" t="n">
        <v>2025</v>
      </c>
      <c r="E102" s="10" t="s">
        <v>250</v>
      </c>
      <c r="F102" s="10" t="s">
        <v>251</v>
      </c>
      <c r="G102" s="10" t="s">
        <v>527</v>
      </c>
      <c r="H102" s="10" t="s">
        <v>25</v>
      </c>
      <c r="I102" s="10" t="s">
        <v>885</v>
      </c>
    </row>
    <row r="103" customFormat="false" ht="39" hidden="false" customHeight="true" outlineLevel="0" collapsed="false">
      <c r="A103" s="9" t="s">
        <v>886</v>
      </c>
      <c r="B103" s="9" t="s">
        <v>218</v>
      </c>
      <c r="C103" s="9" t="s">
        <v>217</v>
      </c>
      <c r="D103" s="9" t="n">
        <v>2025</v>
      </c>
      <c r="E103" s="9" t="s">
        <v>215</v>
      </c>
      <c r="F103" s="9" t="s">
        <v>219</v>
      </c>
      <c r="G103" s="9" t="s">
        <v>507</v>
      </c>
      <c r="H103" s="9" t="s">
        <v>25</v>
      </c>
      <c r="I103" s="9" t="s">
        <v>887</v>
      </c>
    </row>
    <row r="104" customFormat="false" ht="39" hidden="false" customHeight="true" outlineLevel="0" collapsed="false">
      <c r="A104" s="10" t="s">
        <v>886</v>
      </c>
      <c r="B104" s="10" t="s">
        <v>218</v>
      </c>
      <c r="C104" s="10" t="s">
        <v>217</v>
      </c>
      <c r="D104" s="10" t="n">
        <v>2025</v>
      </c>
      <c r="E104" s="10" t="s">
        <v>215</v>
      </c>
      <c r="F104" s="10" t="s">
        <v>219</v>
      </c>
      <c r="G104" s="10" t="s">
        <v>527</v>
      </c>
      <c r="H104" s="10" t="s">
        <v>25</v>
      </c>
      <c r="I104" s="10" t="s">
        <v>887</v>
      </c>
    </row>
    <row r="105" customFormat="false" ht="25.5" hidden="false" customHeight="true" outlineLevel="0" collapsed="false">
      <c r="A105" s="9" t="s">
        <v>888</v>
      </c>
      <c r="B105" s="9" t="s">
        <v>889</v>
      </c>
      <c r="C105" s="9" t="s">
        <v>890</v>
      </c>
      <c r="D105" s="9" t="n">
        <v>2025</v>
      </c>
      <c r="E105" s="9" t="s">
        <v>891</v>
      </c>
      <c r="F105" s="9" t="s">
        <v>892</v>
      </c>
      <c r="G105" s="9" t="s">
        <v>507</v>
      </c>
      <c r="H105" s="9" t="s">
        <v>335</v>
      </c>
      <c r="I105" s="9" t="s">
        <v>893</v>
      </c>
    </row>
    <row r="106" customFormat="false" ht="39" hidden="false" customHeight="true" outlineLevel="0" collapsed="false">
      <c r="A106" s="10" t="s">
        <v>894</v>
      </c>
      <c r="B106" s="10" t="s">
        <v>895</v>
      </c>
      <c r="C106" s="10" t="s">
        <v>896</v>
      </c>
      <c r="D106" s="10" t="n">
        <v>2025</v>
      </c>
      <c r="E106" s="10" t="s">
        <v>107</v>
      </c>
      <c r="F106" s="10" t="s">
        <v>897</v>
      </c>
      <c r="G106" s="10" t="s">
        <v>507</v>
      </c>
      <c r="H106" s="10" t="s">
        <v>25</v>
      </c>
      <c r="I106" s="10" t="s">
        <v>898</v>
      </c>
    </row>
    <row r="107" customFormat="false" ht="39" hidden="false" customHeight="true" outlineLevel="0" collapsed="false">
      <c r="A107" s="9" t="s">
        <v>894</v>
      </c>
      <c r="B107" s="9" t="s">
        <v>895</v>
      </c>
      <c r="C107" s="9" t="s">
        <v>896</v>
      </c>
      <c r="D107" s="9" t="n">
        <v>2025</v>
      </c>
      <c r="E107" s="9" t="s">
        <v>107</v>
      </c>
      <c r="F107" s="9" t="s">
        <v>897</v>
      </c>
      <c r="G107" s="9" t="s">
        <v>527</v>
      </c>
      <c r="H107" s="9" t="s">
        <v>25</v>
      </c>
      <c r="I107" s="9" t="s">
        <v>898</v>
      </c>
    </row>
    <row r="108" customFormat="false" ht="25.5" hidden="false" customHeight="true" outlineLevel="0" collapsed="false">
      <c r="A108" s="10" t="s">
        <v>899</v>
      </c>
      <c r="B108" s="10" t="s">
        <v>900</v>
      </c>
      <c r="C108" s="10" t="s">
        <v>901</v>
      </c>
      <c r="D108" s="10" t="n">
        <v>2025</v>
      </c>
      <c r="E108" s="10" t="s">
        <v>902</v>
      </c>
      <c r="F108" s="10" t="s">
        <v>903</v>
      </c>
      <c r="G108" s="10" t="s">
        <v>507</v>
      </c>
      <c r="H108" s="10" t="s">
        <v>25</v>
      </c>
      <c r="I108" s="10" t="s">
        <v>904</v>
      </c>
    </row>
    <row r="109" customFormat="false" ht="25.5" hidden="false" customHeight="true" outlineLevel="0" collapsed="false">
      <c r="A109" s="9" t="s">
        <v>899</v>
      </c>
      <c r="B109" s="9" t="s">
        <v>900</v>
      </c>
      <c r="C109" s="9" t="s">
        <v>901</v>
      </c>
      <c r="D109" s="9" t="n">
        <v>2025</v>
      </c>
      <c r="E109" s="9" t="s">
        <v>902</v>
      </c>
      <c r="F109" s="9" t="s">
        <v>903</v>
      </c>
      <c r="G109" s="9" t="s">
        <v>527</v>
      </c>
      <c r="H109" s="9" t="s">
        <v>25</v>
      </c>
      <c r="I109" s="9" t="s">
        <v>904</v>
      </c>
    </row>
    <row r="110" customFormat="false" ht="39" hidden="false" customHeight="true" outlineLevel="0" collapsed="false">
      <c r="A110" s="10" t="s">
        <v>905</v>
      </c>
      <c r="B110" s="10" t="s">
        <v>906</v>
      </c>
      <c r="C110" s="10" t="s">
        <v>907</v>
      </c>
      <c r="D110" s="10" t="n">
        <v>2025</v>
      </c>
      <c r="E110" s="10" t="s">
        <v>908</v>
      </c>
      <c r="F110" s="10" t="s">
        <v>909</v>
      </c>
      <c r="G110" s="10" t="s">
        <v>507</v>
      </c>
      <c r="H110" s="10" t="s">
        <v>25</v>
      </c>
      <c r="I110" s="10" t="s">
        <v>910</v>
      </c>
    </row>
    <row r="111" customFormat="false" ht="25.5" hidden="false" customHeight="true" outlineLevel="0" collapsed="false">
      <c r="A111" s="9" t="s">
        <v>911</v>
      </c>
      <c r="B111" s="9" t="s">
        <v>375</v>
      </c>
      <c r="C111" s="9" t="s">
        <v>374</v>
      </c>
      <c r="D111" s="9" t="n">
        <v>2025</v>
      </c>
      <c r="E111" s="9" t="s">
        <v>376</v>
      </c>
      <c r="F111" s="9" t="s">
        <v>377</v>
      </c>
      <c r="G111" s="9" t="s">
        <v>527</v>
      </c>
      <c r="H111" s="9" t="s">
        <v>25</v>
      </c>
      <c r="I111" s="9" t="s">
        <v>912</v>
      </c>
    </row>
    <row r="112" customFormat="false" ht="25.5" hidden="false" customHeight="true" outlineLevel="0" collapsed="false">
      <c r="A112" s="10" t="s">
        <v>913</v>
      </c>
      <c r="B112" s="10" t="s">
        <v>914</v>
      </c>
      <c r="C112" s="10" t="s">
        <v>915</v>
      </c>
      <c r="D112" s="10" t="n">
        <v>2025</v>
      </c>
      <c r="E112" s="10" t="s">
        <v>138</v>
      </c>
      <c r="F112" s="10" t="s">
        <v>916</v>
      </c>
      <c r="G112" s="10" t="s">
        <v>527</v>
      </c>
      <c r="H112" s="10" t="s">
        <v>25</v>
      </c>
      <c r="I112" s="10" t="s">
        <v>917</v>
      </c>
    </row>
    <row r="113" customFormat="false" ht="39" hidden="false" customHeight="true" outlineLevel="0" collapsed="false">
      <c r="A113" s="9" t="s">
        <v>918</v>
      </c>
      <c r="B113" s="9" t="s">
        <v>919</v>
      </c>
      <c r="C113" s="9" t="s">
        <v>920</v>
      </c>
      <c r="D113" s="9" t="n">
        <v>2025</v>
      </c>
      <c r="E113" s="9" t="s">
        <v>66</v>
      </c>
      <c r="F113" s="9" t="s">
        <v>921</v>
      </c>
      <c r="G113" s="9" t="s">
        <v>507</v>
      </c>
      <c r="H113" s="9" t="s">
        <v>514</v>
      </c>
      <c r="I113" s="9" t="s">
        <v>922</v>
      </c>
    </row>
    <row r="114" customFormat="false" ht="39" hidden="false" customHeight="true" outlineLevel="0" collapsed="false">
      <c r="A114" s="10" t="s">
        <v>923</v>
      </c>
      <c r="B114" s="10" t="s">
        <v>924</v>
      </c>
      <c r="C114" s="10" t="s">
        <v>925</v>
      </c>
      <c r="D114" s="10" t="n">
        <v>2024</v>
      </c>
      <c r="E114" s="10" t="s">
        <v>727</v>
      </c>
      <c r="F114" s="10" t="s">
        <v>926</v>
      </c>
      <c r="G114" s="10" t="s">
        <v>527</v>
      </c>
      <c r="H114" s="10" t="s">
        <v>25</v>
      </c>
      <c r="I114" s="10" t="s">
        <v>927</v>
      </c>
    </row>
    <row r="115" customFormat="false" ht="25.5" hidden="false" customHeight="true" outlineLevel="0" collapsed="false">
      <c r="A115" s="9" t="s">
        <v>928</v>
      </c>
      <c r="B115" s="9" t="s">
        <v>929</v>
      </c>
      <c r="C115" s="9" t="s">
        <v>930</v>
      </c>
      <c r="D115" s="9" t="n">
        <v>2024</v>
      </c>
      <c r="E115" s="9" t="s">
        <v>931</v>
      </c>
      <c r="F115" s="9" t="s">
        <v>932</v>
      </c>
      <c r="G115" s="9" t="s">
        <v>507</v>
      </c>
      <c r="H115" s="9" t="s">
        <v>25</v>
      </c>
      <c r="I115" s="9" t="s">
        <v>933</v>
      </c>
    </row>
    <row r="116" customFormat="false" ht="51.75" hidden="false" customHeight="true" outlineLevel="0" collapsed="false">
      <c r="A116" s="10" t="s">
        <v>934</v>
      </c>
      <c r="B116" s="10" t="s">
        <v>935</v>
      </c>
      <c r="C116" s="10" t="s">
        <v>936</v>
      </c>
      <c r="D116" s="10" t="n">
        <v>2024</v>
      </c>
      <c r="E116" s="10" t="s">
        <v>937</v>
      </c>
      <c r="F116" s="10" t="s">
        <v>938</v>
      </c>
      <c r="G116" s="10" t="s">
        <v>507</v>
      </c>
      <c r="H116" s="10" t="s">
        <v>25</v>
      </c>
      <c r="I116" s="10" t="s">
        <v>939</v>
      </c>
    </row>
    <row r="117" customFormat="false" ht="25.5" hidden="false" customHeight="true" outlineLevel="0" collapsed="false">
      <c r="A117" s="9" t="s">
        <v>940</v>
      </c>
      <c r="B117" s="9" t="s">
        <v>941</v>
      </c>
      <c r="C117" s="9" t="s">
        <v>942</v>
      </c>
      <c r="D117" s="9" t="n">
        <v>2024</v>
      </c>
      <c r="E117" s="9" t="s">
        <v>943</v>
      </c>
      <c r="F117" s="9" t="s">
        <v>944</v>
      </c>
      <c r="G117" s="9" t="s">
        <v>507</v>
      </c>
      <c r="H117" s="9" t="s">
        <v>25</v>
      </c>
      <c r="I117" s="9" t="s">
        <v>945</v>
      </c>
    </row>
    <row r="118" customFormat="false" ht="25.5" hidden="false" customHeight="true" outlineLevel="0" collapsed="false">
      <c r="A118" s="10" t="s">
        <v>940</v>
      </c>
      <c r="B118" s="10" t="s">
        <v>941</v>
      </c>
      <c r="C118" s="10" t="s">
        <v>942</v>
      </c>
      <c r="D118" s="10" t="n">
        <v>2024</v>
      </c>
      <c r="E118" s="10" t="s">
        <v>943</v>
      </c>
      <c r="F118" s="10" t="s">
        <v>944</v>
      </c>
      <c r="G118" s="10" t="s">
        <v>527</v>
      </c>
      <c r="H118" s="10" t="s">
        <v>25</v>
      </c>
      <c r="I118" s="10" t="s">
        <v>945</v>
      </c>
    </row>
    <row r="119" customFormat="false" ht="39" hidden="false" customHeight="true" outlineLevel="0" collapsed="false">
      <c r="A119" s="9" t="s">
        <v>946</v>
      </c>
      <c r="B119" s="9" t="s">
        <v>947</v>
      </c>
      <c r="C119" s="9" t="s">
        <v>948</v>
      </c>
      <c r="D119" s="9" t="n">
        <v>2024</v>
      </c>
      <c r="E119" s="9" t="s">
        <v>123</v>
      </c>
      <c r="F119" s="9" t="s">
        <v>949</v>
      </c>
      <c r="G119" s="9" t="s">
        <v>527</v>
      </c>
      <c r="H119" s="9" t="s">
        <v>25</v>
      </c>
      <c r="I119" s="9" t="s">
        <v>950</v>
      </c>
    </row>
    <row r="120" customFormat="false" ht="51.75" hidden="false" customHeight="true" outlineLevel="0" collapsed="false">
      <c r="A120" s="10" t="s">
        <v>951</v>
      </c>
      <c r="B120" s="10" t="s">
        <v>952</v>
      </c>
      <c r="C120" s="10" t="s">
        <v>953</v>
      </c>
      <c r="D120" s="10" t="n">
        <v>2024</v>
      </c>
      <c r="E120" s="10" t="s">
        <v>954</v>
      </c>
      <c r="F120" s="10" t="s">
        <v>955</v>
      </c>
      <c r="G120" s="10" t="s">
        <v>507</v>
      </c>
      <c r="H120" s="10" t="s">
        <v>25</v>
      </c>
      <c r="I120" s="10" t="s">
        <v>956</v>
      </c>
    </row>
    <row r="121" customFormat="false" ht="51.75" hidden="false" customHeight="true" outlineLevel="0" collapsed="false">
      <c r="A121" s="9" t="s">
        <v>957</v>
      </c>
      <c r="B121" s="9" t="s">
        <v>952</v>
      </c>
      <c r="C121" s="9" t="s">
        <v>953</v>
      </c>
      <c r="D121" s="9" t="n">
        <v>2024</v>
      </c>
      <c r="E121" s="9" t="s">
        <v>958</v>
      </c>
      <c r="F121" s="9" t="s">
        <v>955</v>
      </c>
      <c r="G121" s="9" t="s">
        <v>507</v>
      </c>
      <c r="H121" s="9" t="s">
        <v>25</v>
      </c>
      <c r="I121" s="9" t="s">
        <v>959</v>
      </c>
    </row>
    <row r="122" customFormat="false" ht="39" hidden="false" customHeight="true" outlineLevel="0" collapsed="false">
      <c r="A122" s="10" t="s">
        <v>960</v>
      </c>
      <c r="B122" s="10" t="s">
        <v>961</v>
      </c>
      <c r="C122" s="10" t="s">
        <v>962</v>
      </c>
      <c r="D122" s="10" t="n">
        <v>2024</v>
      </c>
      <c r="E122" s="10" t="s">
        <v>963</v>
      </c>
      <c r="F122" s="10" t="s">
        <v>964</v>
      </c>
      <c r="G122" s="10" t="s">
        <v>527</v>
      </c>
      <c r="H122" s="10" t="s">
        <v>25</v>
      </c>
      <c r="I122" s="10" t="s">
        <v>965</v>
      </c>
    </row>
    <row r="123" customFormat="false" ht="25.5" hidden="false" customHeight="true" outlineLevel="0" collapsed="false">
      <c r="A123" s="9" t="s">
        <v>966</v>
      </c>
      <c r="B123" s="9" t="s">
        <v>967</v>
      </c>
      <c r="C123" s="9" t="s">
        <v>968</v>
      </c>
      <c r="D123" s="9" t="n">
        <v>2024</v>
      </c>
      <c r="E123" s="9" t="s">
        <v>969</v>
      </c>
      <c r="F123" s="9"/>
      <c r="G123" s="9" t="s">
        <v>527</v>
      </c>
      <c r="H123" s="9" t="s">
        <v>25</v>
      </c>
      <c r="I123" s="9" t="s">
        <v>970</v>
      </c>
    </row>
    <row r="124" customFormat="false" ht="51.75" hidden="false" customHeight="true" outlineLevel="0" collapsed="false">
      <c r="A124" s="10" t="s">
        <v>971</v>
      </c>
      <c r="B124" s="10" t="s">
        <v>972</v>
      </c>
      <c r="C124" s="10" t="s">
        <v>973</v>
      </c>
      <c r="D124" s="10" t="n">
        <v>2024</v>
      </c>
      <c r="E124" s="10" t="s">
        <v>974</v>
      </c>
      <c r="F124" s="10" t="s">
        <v>975</v>
      </c>
      <c r="G124" s="10" t="s">
        <v>527</v>
      </c>
      <c r="H124" s="10" t="s">
        <v>25</v>
      </c>
      <c r="I124" s="10" t="s">
        <v>976</v>
      </c>
    </row>
    <row r="125" customFormat="false" ht="25.5" hidden="false" customHeight="true" outlineLevel="0" collapsed="false">
      <c r="A125" s="9" t="s">
        <v>977</v>
      </c>
      <c r="B125" s="9" t="s">
        <v>978</v>
      </c>
      <c r="C125" s="9" t="s">
        <v>979</v>
      </c>
      <c r="D125" s="9" t="n">
        <v>2024</v>
      </c>
      <c r="E125" s="9" t="s">
        <v>980</v>
      </c>
      <c r="F125" s="9" t="s">
        <v>981</v>
      </c>
      <c r="G125" s="9" t="s">
        <v>507</v>
      </c>
      <c r="H125" s="9" t="s">
        <v>335</v>
      </c>
      <c r="I125" s="9" t="s">
        <v>982</v>
      </c>
    </row>
    <row r="126" customFormat="false" ht="25.5" hidden="false" customHeight="true" outlineLevel="0" collapsed="false">
      <c r="A126" s="10" t="s">
        <v>977</v>
      </c>
      <c r="B126" s="10" t="s">
        <v>978</v>
      </c>
      <c r="C126" s="10" t="s">
        <v>979</v>
      </c>
      <c r="D126" s="10" t="n">
        <v>2024</v>
      </c>
      <c r="E126" s="10" t="s">
        <v>980</v>
      </c>
      <c r="F126" s="10" t="s">
        <v>981</v>
      </c>
      <c r="G126" s="10" t="s">
        <v>527</v>
      </c>
      <c r="H126" s="10" t="s">
        <v>335</v>
      </c>
      <c r="I126" s="10" t="s">
        <v>982</v>
      </c>
    </row>
    <row r="127" customFormat="false" ht="39" hidden="false" customHeight="true" outlineLevel="0" collapsed="false">
      <c r="A127" s="9" t="s">
        <v>983</v>
      </c>
      <c r="B127" s="9" t="s">
        <v>984</v>
      </c>
      <c r="C127" s="9" t="s">
        <v>985</v>
      </c>
      <c r="D127" s="9" t="n">
        <v>2024</v>
      </c>
      <c r="E127" s="9" t="s">
        <v>986</v>
      </c>
      <c r="F127" s="9" t="s">
        <v>987</v>
      </c>
      <c r="G127" s="9" t="s">
        <v>527</v>
      </c>
      <c r="H127" s="9" t="s">
        <v>335</v>
      </c>
      <c r="I127" s="9" t="s">
        <v>988</v>
      </c>
    </row>
    <row r="128" customFormat="false" ht="51.75" hidden="false" customHeight="true" outlineLevel="0" collapsed="false">
      <c r="A128" s="10" t="s">
        <v>989</v>
      </c>
      <c r="B128" s="10" t="s">
        <v>990</v>
      </c>
      <c r="C128" s="10" t="s">
        <v>991</v>
      </c>
      <c r="D128" s="10" t="n">
        <v>2024</v>
      </c>
      <c r="E128" s="10" t="s">
        <v>138</v>
      </c>
      <c r="F128" s="10" t="s">
        <v>992</v>
      </c>
      <c r="G128" s="10" t="s">
        <v>507</v>
      </c>
      <c r="H128" s="10" t="s">
        <v>25</v>
      </c>
      <c r="I128" s="10" t="s">
        <v>993</v>
      </c>
    </row>
    <row r="129" customFormat="false" ht="51.75" hidden="false" customHeight="true" outlineLevel="0" collapsed="false">
      <c r="A129" s="9" t="s">
        <v>989</v>
      </c>
      <c r="B129" s="9" t="s">
        <v>990</v>
      </c>
      <c r="C129" s="9" t="s">
        <v>991</v>
      </c>
      <c r="D129" s="9" t="n">
        <v>2024</v>
      </c>
      <c r="E129" s="9" t="s">
        <v>138</v>
      </c>
      <c r="F129" s="9" t="s">
        <v>992</v>
      </c>
      <c r="G129" s="9" t="s">
        <v>527</v>
      </c>
      <c r="H129" s="9" t="s">
        <v>25</v>
      </c>
      <c r="I129" s="9" t="s">
        <v>993</v>
      </c>
    </row>
    <row r="130" customFormat="false" ht="25.5" hidden="false" customHeight="true" outlineLevel="0" collapsed="false">
      <c r="A130" s="10" t="s">
        <v>994</v>
      </c>
      <c r="B130" s="10" t="s">
        <v>995</v>
      </c>
      <c r="C130" s="10" t="s">
        <v>996</v>
      </c>
      <c r="D130" s="10" t="n">
        <v>2024</v>
      </c>
      <c r="E130" s="10" t="s">
        <v>969</v>
      </c>
      <c r="F130" s="10"/>
      <c r="G130" s="10" t="s">
        <v>527</v>
      </c>
      <c r="H130" s="10" t="s">
        <v>25</v>
      </c>
      <c r="I130" s="10" t="s">
        <v>997</v>
      </c>
    </row>
    <row r="131" customFormat="false" ht="39" hidden="false" customHeight="true" outlineLevel="0" collapsed="false">
      <c r="A131" s="9" t="s">
        <v>998</v>
      </c>
      <c r="B131" s="9" t="s">
        <v>999</v>
      </c>
      <c r="C131" s="9" t="s">
        <v>1000</v>
      </c>
      <c r="D131" s="9" t="n">
        <v>2024</v>
      </c>
      <c r="E131" s="9" t="s">
        <v>123</v>
      </c>
      <c r="F131" s="9" t="s">
        <v>1001</v>
      </c>
      <c r="G131" s="9" t="s">
        <v>527</v>
      </c>
      <c r="H131" s="9" t="s">
        <v>25</v>
      </c>
      <c r="I131" s="9" t="s">
        <v>1002</v>
      </c>
    </row>
    <row r="132" customFormat="false" ht="64.5" hidden="false" customHeight="true" outlineLevel="0" collapsed="false">
      <c r="A132" s="10" t="s">
        <v>1003</v>
      </c>
      <c r="B132" s="10" t="s">
        <v>1004</v>
      </c>
      <c r="C132" s="10" t="s">
        <v>1005</v>
      </c>
      <c r="D132" s="10" t="n">
        <v>2024</v>
      </c>
      <c r="E132" s="10" t="s">
        <v>711</v>
      </c>
      <c r="F132" s="10" t="s">
        <v>1006</v>
      </c>
      <c r="G132" s="10" t="s">
        <v>507</v>
      </c>
      <c r="H132" s="10" t="s">
        <v>25</v>
      </c>
      <c r="I132" s="10" t="s">
        <v>1007</v>
      </c>
    </row>
    <row r="133" customFormat="false" ht="64.5" hidden="false" customHeight="true" outlineLevel="0" collapsed="false">
      <c r="A133" s="9" t="s">
        <v>1003</v>
      </c>
      <c r="B133" s="9" t="s">
        <v>1004</v>
      </c>
      <c r="C133" s="9" t="s">
        <v>1005</v>
      </c>
      <c r="D133" s="9" t="n">
        <v>2024</v>
      </c>
      <c r="E133" s="9" t="s">
        <v>711</v>
      </c>
      <c r="F133" s="9" t="s">
        <v>1006</v>
      </c>
      <c r="G133" s="9" t="s">
        <v>527</v>
      </c>
      <c r="H133" s="9" t="s">
        <v>25</v>
      </c>
      <c r="I133" s="9" t="s">
        <v>1007</v>
      </c>
    </row>
    <row r="134" customFormat="false" ht="39" hidden="false" customHeight="true" outlineLevel="0" collapsed="false">
      <c r="A134" s="10" t="s">
        <v>1008</v>
      </c>
      <c r="B134" s="10" t="s">
        <v>1009</v>
      </c>
      <c r="C134" s="10" t="s">
        <v>1010</v>
      </c>
      <c r="D134" s="10" t="n">
        <v>2024</v>
      </c>
      <c r="E134" s="10" t="s">
        <v>123</v>
      </c>
      <c r="F134" s="10" t="s">
        <v>1011</v>
      </c>
      <c r="G134" s="10" t="s">
        <v>527</v>
      </c>
      <c r="H134" s="10" t="s">
        <v>25</v>
      </c>
      <c r="I134" s="10" t="s">
        <v>1012</v>
      </c>
    </row>
    <row r="135" customFormat="false" ht="39" hidden="false" customHeight="true" outlineLevel="0" collapsed="false">
      <c r="A135" s="9" t="s">
        <v>1013</v>
      </c>
      <c r="B135" s="9" t="s">
        <v>27</v>
      </c>
      <c r="C135" s="9" t="s">
        <v>26</v>
      </c>
      <c r="D135" s="9" t="n">
        <v>2024</v>
      </c>
      <c r="E135" s="9" t="s">
        <v>28</v>
      </c>
      <c r="F135" s="9" t="s">
        <v>29</v>
      </c>
      <c r="G135" s="9" t="s">
        <v>527</v>
      </c>
      <c r="H135" s="9" t="s">
        <v>25</v>
      </c>
      <c r="I135" s="9" t="s">
        <v>1014</v>
      </c>
    </row>
    <row r="136" customFormat="false" ht="25.5" hidden="false" customHeight="true" outlineLevel="0" collapsed="false">
      <c r="A136" s="10" t="s">
        <v>1015</v>
      </c>
      <c r="B136" s="10" t="s">
        <v>1016</v>
      </c>
      <c r="C136" s="10" t="s">
        <v>1017</v>
      </c>
      <c r="D136" s="10" t="n">
        <v>2024</v>
      </c>
      <c r="E136" s="10" t="s">
        <v>1018</v>
      </c>
      <c r="F136" s="10" t="s">
        <v>1019</v>
      </c>
      <c r="G136" s="10" t="s">
        <v>507</v>
      </c>
      <c r="H136" s="10" t="s">
        <v>335</v>
      </c>
      <c r="I136" s="10" t="s">
        <v>1020</v>
      </c>
    </row>
    <row r="137" customFormat="false" ht="25.5" hidden="false" customHeight="true" outlineLevel="0" collapsed="false">
      <c r="A137" s="9" t="s">
        <v>1021</v>
      </c>
      <c r="B137" s="9" t="s">
        <v>1022</v>
      </c>
      <c r="C137" s="9" t="s">
        <v>1023</v>
      </c>
      <c r="D137" s="9" t="n">
        <v>2024</v>
      </c>
      <c r="E137" s="9" t="s">
        <v>969</v>
      </c>
      <c r="F137" s="9"/>
      <c r="G137" s="9" t="s">
        <v>507</v>
      </c>
      <c r="H137" s="9" t="s">
        <v>25</v>
      </c>
      <c r="I137" s="9" t="s">
        <v>1024</v>
      </c>
    </row>
    <row r="138" customFormat="false" ht="25.5" hidden="false" customHeight="true" outlineLevel="0" collapsed="false">
      <c r="A138" s="10" t="s">
        <v>1021</v>
      </c>
      <c r="B138" s="10" t="s">
        <v>1022</v>
      </c>
      <c r="C138" s="10" t="s">
        <v>1023</v>
      </c>
      <c r="D138" s="10" t="n">
        <v>2024</v>
      </c>
      <c r="E138" s="10" t="s">
        <v>969</v>
      </c>
      <c r="F138" s="10"/>
      <c r="G138" s="10" t="s">
        <v>527</v>
      </c>
      <c r="H138" s="10" t="s">
        <v>25</v>
      </c>
      <c r="I138" s="10" t="s">
        <v>1024</v>
      </c>
    </row>
    <row r="139" customFormat="false" ht="51.75" hidden="false" customHeight="true" outlineLevel="0" collapsed="false">
      <c r="A139" s="9" t="s">
        <v>1025</v>
      </c>
      <c r="B139" s="9" t="s">
        <v>1026</v>
      </c>
      <c r="C139" s="9" t="s">
        <v>1027</v>
      </c>
      <c r="D139" s="9" t="n">
        <v>2024</v>
      </c>
      <c r="E139" s="9" t="s">
        <v>969</v>
      </c>
      <c r="F139" s="9"/>
      <c r="G139" s="9" t="s">
        <v>507</v>
      </c>
      <c r="H139" s="9" t="s">
        <v>514</v>
      </c>
      <c r="I139" s="9" t="s">
        <v>1028</v>
      </c>
    </row>
    <row r="140" customFormat="false" ht="51.75" hidden="false" customHeight="true" outlineLevel="0" collapsed="false">
      <c r="A140" s="10" t="s">
        <v>1029</v>
      </c>
      <c r="B140" s="10" t="s">
        <v>291</v>
      </c>
      <c r="C140" s="10" t="s">
        <v>290</v>
      </c>
      <c r="D140" s="10" t="n">
        <v>2024</v>
      </c>
      <c r="E140" s="10" t="s">
        <v>123</v>
      </c>
      <c r="F140" s="10" t="s">
        <v>292</v>
      </c>
      <c r="G140" s="10" t="s">
        <v>507</v>
      </c>
      <c r="H140" s="10" t="s">
        <v>25</v>
      </c>
      <c r="I140" s="10" t="s">
        <v>1030</v>
      </c>
    </row>
    <row r="141" customFormat="false" ht="51.75" hidden="false" customHeight="true" outlineLevel="0" collapsed="false">
      <c r="A141" s="9" t="s">
        <v>1029</v>
      </c>
      <c r="B141" s="9" t="s">
        <v>291</v>
      </c>
      <c r="C141" s="9" t="s">
        <v>290</v>
      </c>
      <c r="D141" s="9" t="n">
        <v>2024</v>
      </c>
      <c r="E141" s="9" t="s">
        <v>123</v>
      </c>
      <c r="F141" s="9" t="s">
        <v>292</v>
      </c>
      <c r="G141" s="9" t="s">
        <v>527</v>
      </c>
      <c r="H141" s="9" t="s">
        <v>25</v>
      </c>
      <c r="I141" s="9" t="s">
        <v>1030</v>
      </c>
    </row>
    <row r="142" customFormat="false" ht="25.5" hidden="false" customHeight="true" outlineLevel="0" collapsed="false">
      <c r="A142" s="10" t="s">
        <v>1031</v>
      </c>
      <c r="B142" s="10" t="s">
        <v>1032</v>
      </c>
      <c r="C142" s="10" t="s">
        <v>1033</v>
      </c>
      <c r="D142" s="10" t="n">
        <v>2024</v>
      </c>
      <c r="E142" s="10" t="s">
        <v>239</v>
      </c>
      <c r="F142" s="10" t="s">
        <v>1034</v>
      </c>
      <c r="G142" s="10" t="s">
        <v>507</v>
      </c>
      <c r="H142" s="10" t="s">
        <v>25</v>
      </c>
      <c r="I142" s="10" t="s">
        <v>1035</v>
      </c>
    </row>
    <row r="143" customFormat="false" ht="25.5" hidden="false" customHeight="true" outlineLevel="0" collapsed="false">
      <c r="A143" s="9" t="s">
        <v>1031</v>
      </c>
      <c r="B143" s="9" t="s">
        <v>1032</v>
      </c>
      <c r="C143" s="9" t="s">
        <v>1033</v>
      </c>
      <c r="D143" s="9" t="n">
        <v>2024</v>
      </c>
      <c r="E143" s="9" t="s">
        <v>239</v>
      </c>
      <c r="F143" s="9" t="s">
        <v>1034</v>
      </c>
      <c r="G143" s="9" t="s">
        <v>527</v>
      </c>
      <c r="H143" s="9" t="s">
        <v>25</v>
      </c>
      <c r="I143" s="9" t="s">
        <v>1035</v>
      </c>
    </row>
    <row r="144" customFormat="false" ht="25.5" hidden="false" customHeight="true" outlineLevel="0" collapsed="false">
      <c r="A144" s="10" t="s">
        <v>1036</v>
      </c>
      <c r="B144" s="10" t="s">
        <v>1037</v>
      </c>
      <c r="C144" s="10" t="s">
        <v>1038</v>
      </c>
      <c r="D144" s="10" t="n">
        <v>2024</v>
      </c>
      <c r="E144" s="10" t="s">
        <v>954</v>
      </c>
      <c r="F144" s="10" t="s">
        <v>1039</v>
      </c>
      <c r="G144" s="10" t="s">
        <v>507</v>
      </c>
      <c r="H144" s="10" t="s">
        <v>514</v>
      </c>
      <c r="I144" s="10" t="s">
        <v>1040</v>
      </c>
    </row>
    <row r="145" customFormat="false" ht="25.5" hidden="false" customHeight="true" outlineLevel="0" collapsed="false">
      <c r="A145" s="9" t="s">
        <v>1036</v>
      </c>
      <c r="B145" s="9" t="s">
        <v>1037</v>
      </c>
      <c r="C145" s="9" t="s">
        <v>1038</v>
      </c>
      <c r="D145" s="9" t="n">
        <v>2024</v>
      </c>
      <c r="E145" s="9" t="s">
        <v>954</v>
      </c>
      <c r="F145" s="9" t="s">
        <v>1039</v>
      </c>
      <c r="G145" s="9" t="s">
        <v>527</v>
      </c>
      <c r="H145" s="9" t="s">
        <v>514</v>
      </c>
      <c r="I145" s="9" t="s">
        <v>1040</v>
      </c>
    </row>
    <row r="146" customFormat="false" ht="39" hidden="false" customHeight="true" outlineLevel="0" collapsed="false">
      <c r="A146" s="10" t="s">
        <v>1041</v>
      </c>
      <c r="B146" s="10" t="s">
        <v>1042</v>
      </c>
      <c r="C146" s="10" t="s">
        <v>1038</v>
      </c>
      <c r="D146" s="10" t="n">
        <v>2024</v>
      </c>
      <c r="E146" s="10" t="s">
        <v>958</v>
      </c>
      <c r="F146" s="10" t="s">
        <v>1039</v>
      </c>
      <c r="G146" s="10" t="s">
        <v>507</v>
      </c>
      <c r="H146" s="10" t="s">
        <v>514</v>
      </c>
      <c r="I146" s="10" t="s">
        <v>1043</v>
      </c>
    </row>
    <row r="147" customFormat="false" ht="39" hidden="false" customHeight="true" outlineLevel="0" collapsed="false">
      <c r="A147" s="9" t="s">
        <v>1041</v>
      </c>
      <c r="B147" s="9" t="s">
        <v>1042</v>
      </c>
      <c r="C147" s="9" t="s">
        <v>1038</v>
      </c>
      <c r="D147" s="9" t="n">
        <v>2024</v>
      </c>
      <c r="E147" s="9" t="s">
        <v>958</v>
      </c>
      <c r="F147" s="9" t="s">
        <v>1039</v>
      </c>
      <c r="G147" s="9" t="s">
        <v>527</v>
      </c>
      <c r="H147" s="9" t="s">
        <v>514</v>
      </c>
      <c r="I147" s="9" t="s">
        <v>1043</v>
      </c>
    </row>
    <row r="148" customFormat="false" ht="51.75" hidden="false" customHeight="true" outlineLevel="0" collapsed="false">
      <c r="A148" s="10" t="s">
        <v>1044</v>
      </c>
      <c r="B148" s="10" t="s">
        <v>1045</v>
      </c>
      <c r="C148" s="10" t="s">
        <v>1046</v>
      </c>
      <c r="D148" s="10" t="n">
        <v>2024</v>
      </c>
      <c r="E148" s="10" t="s">
        <v>1047</v>
      </c>
      <c r="F148" s="10" t="s">
        <v>1048</v>
      </c>
      <c r="G148" s="10" t="s">
        <v>507</v>
      </c>
      <c r="H148" s="10" t="s">
        <v>335</v>
      </c>
      <c r="I148" s="10" t="s">
        <v>1049</v>
      </c>
    </row>
    <row r="149" customFormat="false" ht="25.5" hidden="false" customHeight="true" outlineLevel="0" collapsed="false">
      <c r="A149" s="9" t="s">
        <v>1050</v>
      </c>
      <c r="B149" s="9" t="s">
        <v>1051</v>
      </c>
      <c r="C149" s="9" t="s">
        <v>1052</v>
      </c>
      <c r="D149" s="9" t="n">
        <v>2024</v>
      </c>
      <c r="E149" s="9" t="s">
        <v>598</v>
      </c>
      <c r="F149" s="9" t="s">
        <v>1053</v>
      </c>
      <c r="G149" s="9" t="s">
        <v>507</v>
      </c>
      <c r="H149" s="9" t="s">
        <v>25</v>
      </c>
      <c r="I149" s="9" t="s">
        <v>1054</v>
      </c>
    </row>
    <row r="150" customFormat="false" ht="25.5" hidden="false" customHeight="true" outlineLevel="0" collapsed="false">
      <c r="A150" s="10" t="s">
        <v>1050</v>
      </c>
      <c r="B150" s="10" t="s">
        <v>1051</v>
      </c>
      <c r="C150" s="10" t="s">
        <v>1052</v>
      </c>
      <c r="D150" s="10" t="n">
        <v>2024</v>
      </c>
      <c r="E150" s="10" t="s">
        <v>598</v>
      </c>
      <c r="F150" s="10" t="s">
        <v>1053</v>
      </c>
      <c r="G150" s="10" t="s">
        <v>527</v>
      </c>
      <c r="H150" s="10" t="s">
        <v>25</v>
      </c>
      <c r="I150" s="10" t="s">
        <v>1054</v>
      </c>
    </row>
    <row r="151" customFormat="false" ht="39" hidden="false" customHeight="true" outlineLevel="0" collapsed="false">
      <c r="A151" s="9" t="s">
        <v>1055</v>
      </c>
      <c r="B151" s="9" t="s">
        <v>1056</v>
      </c>
      <c r="C151" s="9" t="s">
        <v>1057</v>
      </c>
      <c r="D151" s="9" t="n">
        <v>2024</v>
      </c>
      <c r="E151" s="9" t="s">
        <v>239</v>
      </c>
      <c r="F151" s="9" t="s">
        <v>1058</v>
      </c>
      <c r="G151" s="9" t="s">
        <v>527</v>
      </c>
      <c r="H151" s="9" t="s">
        <v>25</v>
      </c>
      <c r="I151" s="9" t="s">
        <v>1059</v>
      </c>
    </row>
    <row r="152" customFormat="false" ht="39" hidden="false" customHeight="true" outlineLevel="0" collapsed="false">
      <c r="A152" s="10" t="s">
        <v>1060</v>
      </c>
      <c r="B152" s="10" t="s">
        <v>1061</v>
      </c>
      <c r="C152" s="10" t="s">
        <v>1062</v>
      </c>
      <c r="D152" s="10" t="n">
        <v>2024</v>
      </c>
      <c r="E152" s="10" t="s">
        <v>300</v>
      </c>
      <c r="F152" s="10" t="s">
        <v>1063</v>
      </c>
      <c r="G152" s="10" t="s">
        <v>507</v>
      </c>
      <c r="H152" s="10" t="s">
        <v>25</v>
      </c>
      <c r="I152" s="10" t="s">
        <v>1064</v>
      </c>
    </row>
    <row r="153" customFormat="false" ht="39" hidden="false" customHeight="true" outlineLevel="0" collapsed="false">
      <c r="A153" s="9" t="s">
        <v>1065</v>
      </c>
      <c r="B153" s="9" t="s">
        <v>1066</v>
      </c>
      <c r="C153" s="9" t="s">
        <v>1067</v>
      </c>
      <c r="D153" s="9" t="n">
        <v>2024</v>
      </c>
      <c r="E153" s="9" t="s">
        <v>130</v>
      </c>
      <c r="F153" s="9" t="s">
        <v>1068</v>
      </c>
      <c r="G153" s="9" t="s">
        <v>507</v>
      </c>
      <c r="H153" s="9" t="s">
        <v>25</v>
      </c>
      <c r="I153" s="9" t="s">
        <v>1069</v>
      </c>
    </row>
    <row r="154" customFormat="false" ht="39" hidden="false" customHeight="true" outlineLevel="0" collapsed="false">
      <c r="A154" s="10" t="s">
        <v>1070</v>
      </c>
      <c r="B154" s="10" t="s">
        <v>1071</v>
      </c>
      <c r="C154" s="10" t="s">
        <v>1072</v>
      </c>
      <c r="D154" s="10" t="n">
        <v>2024</v>
      </c>
      <c r="E154" s="10" t="s">
        <v>300</v>
      </c>
      <c r="F154" s="10" t="s">
        <v>1073</v>
      </c>
      <c r="G154" s="10" t="s">
        <v>507</v>
      </c>
      <c r="H154" s="10" t="s">
        <v>25</v>
      </c>
      <c r="I154" s="10" t="s">
        <v>1074</v>
      </c>
    </row>
    <row r="155" customFormat="false" ht="51.75" hidden="false" customHeight="true" outlineLevel="0" collapsed="false">
      <c r="A155" s="9" t="s">
        <v>1075</v>
      </c>
      <c r="B155" s="9" t="s">
        <v>1076</v>
      </c>
      <c r="C155" s="9" t="s">
        <v>1077</v>
      </c>
      <c r="D155" s="9" t="n">
        <v>2024</v>
      </c>
      <c r="E155" s="9" t="s">
        <v>1078</v>
      </c>
      <c r="F155" s="9" t="s">
        <v>1079</v>
      </c>
      <c r="G155" s="9" t="s">
        <v>527</v>
      </c>
      <c r="H155" s="9" t="s">
        <v>25</v>
      </c>
      <c r="I155" s="9" t="s">
        <v>1080</v>
      </c>
    </row>
    <row r="156" customFormat="false" ht="51.75" hidden="false" customHeight="true" outlineLevel="0" collapsed="false">
      <c r="A156" s="10" t="s">
        <v>1081</v>
      </c>
      <c r="B156" s="10" t="s">
        <v>122</v>
      </c>
      <c r="C156" s="10" t="s">
        <v>121</v>
      </c>
      <c r="D156" s="10" t="n">
        <v>2024</v>
      </c>
      <c r="E156" s="10" t="s">
        <v>123</v>
      </c>
      <c r="F156" s="10" t="s">
        <v>124</v>
      </c>
      <c r="G156" s="10" t="s">
        <v>507</v>
      </c>
      <c r="H156" s="10" t="s">
        <v>25</v>
      </c>
      <c r="I156" s="10" t="s">
        <v>1082</v>
      </c>
    </row>
    <row r="157" customFormat="false" ht="51.75" hidden="false" customHeight="true" outlineLevel="0" collapsed="false">
      <c r="A157" s="9" t="s">
        <v>1081</v>
      </c>
      <c r="B157" s="9" t="s">
        <v>122</v>
      </c>
      <c r="C157" s="9" t="s">
        <v>121</v>
      </c>
      <c r="D157" s="9" t="n">
        <v>2024</v>
      </c>
      <c r="E157" s="9" t="s">
        <v>123</v>
      </c>
      <c r="F157" s="9" t="s">
        <v>124</v>
      </c>
      <c r="G157" s="9" t="s">
        <v>527</v>
      </c>
      <c r="H157" s="9" t="s">
        <v>25</v>
      </c>
      <c r="I157" s="9" t="s">
        <v>1082</v>
      </c>
    </row>
    <row r="158" customFormat="false" ht="25.5" hidden="false" customHeight="true" outlineLevel="0" collapsed="false">
      <c r="A158" s="10" t="s">
        <v>1083</v>
      </c>
      <c r="B158" s="10" t="s">
        <v>1084</v>
      </c>
      <c r="C158" s="10" t="s">
        <v>1085</v>
      </c>
      <c r="D158" s="10" t="n">
        <v>2024</v>
      </c>
      <c r="E158" s="10" t="s">
        <v>1086</v>
      </c>
      <c r="F158" s="10" t="s">
        <v>1087</v>
      </c>
      <c r="G158" s="10" t="s">
        <v>507</v>
      </c>
      <c r="H158" s="10" t="s">
        <v>335</v>
      </c>
      <c r="I158" s="10" t="s">
        <v>1088</v>
      </c>
    </row>
    <row r="159" customFormat="false" ht="25.5" hidden="false" customHeight="true" outlineLevel="0" collapsed="false">
      <c r="A159" s="9" t="s">
        <v>1083</v>
      </c>
      <c r="B159" s="9" t="s">
        <v>1084</v>
      </c>
      <c r="C159" s="9" t="s">
        <v>1085</v>
      </c>
      <c r="D159" s="9" t="n">
        <v>2024</v>
      </c>
      <c r="E159" s="9" t="s">
        <v>1086</v>
      </c>
      <c r="F159" s="9" t="s">
        <v>1087</v>
      </c>
      <c r="G159" s="9" t="s">
        <v>527</v>
      </c>
      <c r="H159" s="9" t="s">
        <v>335</v>
      </c>
      <c r="I159" s="9" t="s">
        <v>1088</v>
      </c>
    </row>
    <row r="160" customFormat="false" ht="39" hidden="false" customHeight="true" outlineLevel="0" collapsed="false">
      <c r="A160" s="10" t="s">
        <v>1089</v>
      </c>
      <c r="B160" s="10" t="s">
        <v>1090</v>
      </c>
      <c r="C160" s="10" t="s">
        <v>1091</v>
      </c>
      <c r="D160" s="10" t="n">
        <v>2024</v>
      </c>
      <c r="E160" s="10" t="s">
        <v>123</v>
      </c>
      <c r="F160" s="10" t="s">
        <v>1092</v>
      </c>
      <c r="G160" s="10" t="s">
        <v>527</v>
      </c>
      <c r="H160" s="10" t="s">
        <v>25</v>
      </c>
      <c r="I160" s="10" t="s">
        <v>1093</v>
      </c>
    </row>
    <row r="161" customFormat="false" ht="39" hidden="false" customHeight="true" outlineLevel="0" collapsed="false">
      <c r="A161" s="9" t="s">
        <v>1094</v>
      </c>
      <c r="B161" s="9" t="s">
        <v>195</v>
      </c>
      <c r="C161" s="9" t="s">
        <v>194</v>
      </c>
      <c r="D161" s="9" t="n">
        <v>2024</v>
      </c>
      <c r="E161" s="9" t="s">
        <v>166</v>
      </c>
      <c r="F161" s="9" t="s">
        <v>196</v>
      </c>
      <c r="G161" s="9" t="s">
        <v>507</v>
      </c>
      <c r="H161" s="9" t="s">
        <v>25</v>
      </c>
      <c r="I161" s="9" t="s">
        <v>1095</v>
      </c>
    </row>
    <row r="162" customFormat="false" ht="39" hidden="false" customHeight="true" outlineLevel="0" collapsed="false">
      <c r="A162" s="10" t="s">
        <v>1094</v>
      </c>
      <c r="B162" s="10" t="s">
        <v>195</v>
      </c>
      <c r="C162" s="10" t="s">
        <v>194</v>
      </c>
      <c r="D162" s="10" t="n">
        <v>2024</v>
      </c>
      <c r="E162" s="10" t="s">
        <v>166</v>
      </c>
      <c r="F162" s="10" t="s">
        <v>196</v>
      </c>
      <c r="G162" s="10" t="s">
        <v>527</v>
      </c>
      <c r="H162" s="10" t="s">
        <v>25</v>
      </c>
      <c r="I162" s="10" t="s">
        <v>1095</v>
      </c>
    </row>
    <row r="163" customFormat="false" ht="25.5" hidden="false" customHeight="true" outlineLevel="0" collapsed="false">
      <c r="A163" s="9" t="s">
        <v>1096</v>
      </c>
      <c r="B163" s="9" t="s">
        <v>238</v>
      </c>
      <c r="C163" s="9" t="s">
        <v>237</v>
      </c>
      <c r="D163" s="9" t="n">
        <v>2024</v>
      </c>
      <c r="E163" s="9" t="s">
        <v>239</v>
      </c>
      <c r="F163" s="9" t="s">
        <v>240</v>
      </c>
      <c r="G163" s="9" t="s">
        <v>507</v>
      </c>
      <c r="H163" s="9" t="s">
        <v>25</v>
      </c>
      <c r="I163" s="9" t="s">
        <v>1097</v>
      </c>
    </row>
    <row r="164" customFormat="false" ht="25.5" hidden="false" customHeight="true" outlineLevel="0" collapsed="false">
      <c r="A164" s="10" t="s">
        <v>1096</v>
      </c>
      <c r="B164" s="10" t="s">
        <v>238</v>
      </c>
      <c r="C164" s="10" t="s">
        <v>237</v>
      </c>
      <c r="D164" s="10" t="n">
        <v>2024</v>
      </c>
      <c r="E164" s="10" t="s">
        <v>239</v>
      </c>
      <c r="F164" s="10" t="s">
        <v>240</v>
      </c>
      <c r="G164" s="10" t="s">
        <v>527</v>
      </c>
      <c r="H164" s="10" t="s">
        <v>25</v>
      </c>
      <c r="I164" s="10" t="s">
        <v>1097</v>
      </c>
    </row>
    <row r="165" customFormat="false" ht="25.5" hidden="false" customHeight="true" outlineLevel="0" collapsed="false">
      <c r="A165" s="9" t="s">
        <v>1098</v>
      </c>
      <c r="B165" s="9" t="s">
        <v>214</v>
      </c>
      <c r="C165" s="9" t="s">
        <v>213</v>
      </c>
      <c r="D165" s="9" t="n">
        <v>2024</v>
      </c>
      <c r="E165" s="9" t="s">
        <v>215</v>
      </c>
      <c r="F165" s="9" t="s">
        <v>216</v>
      </c>
      <c r="G165" s="9" t="s">
        <v>507</v>
      </c>
      <c r="H165" s="9" t="s">
        <v>25</v>
      </c>
      <c r="I165" s="9" t="s">
        <v>1099</v>
      </c>
    </row>
    <row r="166" customFormat="false" ht="25.5" hidden="false" customHeight="true" outlineLevel="0" collapsed="false">
      <c r="A166" s="10" t="s">
        <v>1098</v>
      </c>
      <c r="B166" s="10" t="s">
        <v>214</v>
      </c>
      <c r="C166" s="10" t="s">
        <v>213</v>
      </c>
      <c r="D166" s="10" t="n">
        <v>2024</v>
      </c>
      <c r="E166" s="10" t="s">
        <v>215</v>
      </c>
      <c r="F166" s="10" t="s">
        <v>216</v>
      </c>
      <c r="G166" s="10" t="s">
        <v>527</v>
      </c>
      <c r="H166" s="10" t="s">
        <v>25</v>
      </c>
      <c r="I166" s="10" t="s">
        <v>1099</v>
      </c>
    </row>
    <row r="167" customFormat="false" ht="25.5" hidden="false" customHeight="true" outlineLevel="0" collapsed="false">
      <c r="A167" s="9" t="s">
        <v>1100</v>
      </c>
      <c r="B167" s="9" t="s">
        <v>1101</v>
      </c>
      <c r="C167" s="9" t="s">
        <v>1102</v>
      </c>
      <c r="D167" s="9" t="n">
        <v>2024</v>
      </c>
      <c r="E167" s="9" t="s">
        <v>338</v>
      </c>
      <c r="F167" s="9" t="s">
        <v>1103</v>
      </c>
      <c r="G167" s="9" t="s">
        <v>507</v>
      </c>
      <c r="H167" s="9" t="s">
        <v>25</v>
      </c>
      <c r="I167" s="9" t="s">
        <v>1104</v>
      </c>
    </row>
    <row r="168" customFormat="false" ht="39" hidden="false" customHeight="true" outlineLevel="0" collapsed="false">
      <c r="A168" s="10" t="s">
        <v>1105</v>
      </c>
      <c r="B168" s="10" t="s">
        <v>1106</v>
      </c>
      <c r="C168" s="10" t="s">
        <v>1107</v>
      </c>
      <c r="D168" s="10" t="n">
        <v>2024</v>
      </c>
      <c r="E168" s="10" t="s">
        <v>1018</v>
      </c>
      <c r="F168" s="10" t="s">
        <v>1108</v>
      </c>
      <c r="G168" s="10" t="s">
        <v>507</v>
      </c>
      <c r="H168" s="10" t="s">
        <v>335</v>
      </c>
      <c r="I168" s="10" t="s">
        <v>1109</v>
      </c>
    </row>
    <row r="169" customFormat="false" ht="51.75" hidden="false" customHeight="true" outlineLevel="0" collapsed="false">
      <c r="A169" s="9" t="s">
        <v>1110</v>
      </c>
      <c r="B169" s="9" t="s">
        <v>1111</v>
      </c>
      <c r="C169" s="9" t="s">
        <v>1112</v>
      </c>
      <c r="D169" s="9" t="n">
        <v>2024</v>
      </c>
      <c r="E169" s="9" t="s">
        <v>1113</v>
      </c>
      <c r="F169" s="9" t="s">
        <v>1114</v>
      </c>
      <c r="G169" s="9" t="s">
        <v>527</v>
      </c>
      <c r="H169" s="9" t="s">
        <v>25</v>
      </c>
      <c r="I169" s="9" t="s">
        <v>1115</v>
      </c>
    </row>
    <row r="170" customFormat="false" ht="51.75" hidden="false" customHeight="true" outlineLevel="0" collapsed="false">
      <c r="A170" s="10" t="s">
        <v>1116</v>
      </c>
      <c r="B170" s="10" t="s">
        <v>1117</v>
      </c>
      <c r="C170" s="10" t="s">
        <v>1118</v>
      </c>
      <c r="D170" s="10" t="n">
        <v>2024</v>
      </c>
      <c r="E170" s="10" t="s">
        <v>1119</v>
      </c>
      <c r="F170" s="10" t="s">
        <v>1120</v>
      </c>
      <c r="G170" s="10" t="s">
        <v>527</v>
      </c>
      <c r="H170" s="10" t="s">
        <v>25</v>
      </c>
      <c r="I170" s="10" t="s">
        <v>1121</v>
      </c>
    </row>
    <row r="171" customFormat="false" ht="25.5" hidden="false" customHeight="true" outlineLevel="0" collapsed="false">
      <c r="A171" s="9" t="s">
        <v>1122</v>
      </c>
      <c r="B171" s="9" t="s">
        <v>1123</v>
      </c>
      <c r="C171" s="9" t="s">
        <v>1124</v>
      </c>
      <c r="D171" s="9" t="n">
        <v>2024</v>
      </c>
      <c r="E171" s="9" t="s">
        <v>717</v>
      </c>
      <c r="F171" s="9" t="s">
        <v>1125</v>
      </c>
      <c r="G171" s="9" t="s">
        <v>507</v>
      </c>
      <c r="H171" s="9" t="s">
        <v>25</v>
      </c>
      <c r="I171" s="9" t="s">
        <v>1126</v>
      </c>
    </row>
    <row r="172" customFormat="false" ht="25.5" hidden="false" customHeight="true" outlineLevel="0" collapsed="false">
      <c r="A172" s="10" t="s">
        <v>1127</v>
      </c>
      <c r="B172" s="10" t="s">
        <v>1128</v>
      </c>
      <c r="C172" s="10" t="s">
        <v>1129</v>
      </c>
      <c r="D172" s="10" t="n">
        <v>2024</v>
      </c>
      <c r="E172" s="10" t="s">
        <v>954</v>
      </c>
      <c r="F172" s="10" t="s">
        <v>1130</v>
      </c>
      <c r="G172" s="10" t="s">
        <v>507</v>
      </c>
      <c r="H172" s="10" t="s">
        <v>25</v>
      </c>
      <c r="I172" s="10" t="s">
        <v>1131</v>
      </c>
    </row>
    <row r="173" customFormat="false" ht="25.5" hidden="false" customHeight="true" outlineLevel="0" collapsed="false">
      <c r="A173" s="9" t="s">
        <v>1127</v>
      </c>
      <c r="B173" s="9" t="s">
        <v>1128</v>
      </c>
      <c r="C173" s="9" t="s">
        <v>1129</v>
      </c>
      <c r="D173" s="9" t="n">
        <v>2024</v>
      </c>
      <c r="E173" s="9" t="s">
        <v>954</v>
      </c>
      <c r="F173" s="9" t="s">
        <v>1130</v>
      </c>
      <c r="G173" s="9" t="s">
        <v>527</v>
      </c>
      <c r="H173" s="9" t="s">
        <v>25</v>
      </c>
      <c r="I173" s="9" t="s">
        <v>1131</v>
      </c>
    </row>
    <row r="174" customFormat="false" ht="39" hidden="false" customHeight="true" outlineLevel="0" collapsed="false">
      <c r="A174" s="10" t="s">
        <v>1132</v>
      </c>
      <c r="B174" s="10" t="s">
        <v>1128</v>
      </c>
      <c r="C174" s="10" t="s">
        <v>1129</v>
      </c>
      <c r="D174" s="10" t="n">
        <v>2024</v>
      </c>
      <c r="E174" s="10" t="s">
        <v>958</v>
      </c>
      <c r="F174" s="10" t="s">
        <v>1130</v>
      </c>
      <c r="G174" s="10" t="s">
        <v>507</v>
      </c>
      <c r="H174" s="10" t="s">
        <v>25</v>
      </c>
      <c r="I174" s="10" t="s">
        <v>1133</v>
      </c>
    </row>
    <row r="175" customFormat="false" ht="39" hidden="false" customHeight="true" outlineLevel="0" collapsed="false">
      <c r="A175" s="9" t="s">
        <v>1132</v>
      </c>
      <c r="B175" s="9" t="s">
        <v>1128</v>
      </c>
      <c r="C175" s="9" t="s">
        <v>1129</v>
      </c>
      <c r="D175" s="9" t="n">
        <v>2024</v>
      </c>
      <c r="E175" s="9" t="s">
        <v>958</v>
      </c>
      <c r="F175" s="9" t="s">
        <v>1130</v>
      </c>
      <c r="G175" s="9" t="s">
        <v>527</v>
      </c>
      <c r="H175" s="9" t="s">
        <v>25</v>
      </c>
      <c r="I175" s="9" t="s">
        <v>1133</v>
      </c>
    </row>
    <row r="176" customFormat="false" ht="39" hidden="false" customHeight="true" outlineLevel="0" collapsed="false">
      <c r="A176" s="10" t="s">
        <v>1134</v>
      </c>
      <c r="B176" s="10" t="s">
        <v>1135</v>
      </c>
      <c r="C176" s="10" t="s">
        <v>1136</v>
      </c>
      <c r="D176" s="10" t="n">
        <v>2024</v>
      </c>
      <c r="E176" s="10" t="s">
        <v>123</v>
      </c>
      <c r="F176" s="10" t="s">
        <v>1137</v>
      </c>
      <c r="G176" s="10" t="s">
        <v>507</v>
      </c>
      <c r="H176" s="10" t="s">
        <v>335</v>
      </c>
      <c r="I176" s="10" t="s">
        <v>1138</v>
      </c>
    </row>
    <row r="177" customFormat="false" ht="39" hidden="false" customHeight="true" outlineLevel="0" collapsed="false">
      <c r="A177" s="9" t="s">
        <v>1134</v>
      </c>
      <c r="B177" s="9" t="s">
        <v>1135</v>
      </c>
      <c r="C177" s="9" t="s">
        <v>1136</v>
      </c>
      <c r="D177" s="9" t="n">
        <v>2024</v>
      </c>
      <c r="E177" s="9" t="s">
        <v>123</v>
      </c>
      <c r="F177" s="9" t="s">
        <v>1137</v>
      </c>
      <c r="G177" s="9" t="s">
        <v>527</v>
      </c>
      <c r="H177" s="9" t="s">
        <v>335</v>
      </c>
      <c r="I177" s="9" t="s">
        <v>1138</v>
      </c>
    </row>
    <row r="178" customFormat="false" ht="25.5" hidden="false" customHeight="true" outlineLevel="0" collapsed="false">
      <c r="A178" s="10" t="s">
        <v>1139</v>
      </c>
      <c r="B178" s="10" t="s">
        <v>1140</v>
      </c>
      <c r="C178" s="10" t="s">
        <v>1141</v>
      </c>
      <c r="D178" s="10" t="n">
        <v>2024</v>
      </c>
      <c r="E178" s="10" t="s">
        <v>969</v>
      </c>
      <c r="F178" s="10"/>
      <c r="G178" s="10" t="s">
        <v>507</v>
      </c>
      <c r="H178" s="10" t="s">
        <v>335</v>
      </c>
      <c r="I178" s="10" t="s">
        <v>1142</v>
      </c>
    </row>
    <row r="179" customFormat="false" ht="39" hidden="false" customHeight="true" outlineLevel="0" collapsed="false">
      <c r="A179" s="9" t="s">
        <v>1143</v>
      </c>
      <c r="B179" s="9" t="s">
        <v>126</v>
      </c>
      <c r="C179" s="9" t="s">
        <v>125</v>
      </c>
      <c r="D179" s="9" t="n">
        <v>2024</v>
      </c>
      <c r="E179" s="9" t="s">
        <v>123</v>
      </c>
      <c r="F179" s="9" t="s">
        <v>127</v>
      </c>
      <c r="G179" s="9" t="s">
        <v>507</v>
      </c>
      <c r="H179" s="9" t="s">
        <v>25</v>
      </c>
      <c r="I179" s="9" t="s">
        <v>1144</v>
      </c>
    </row>
    <row r="180" customFormat="false" ht="39" hidden="false" customHeight="true" outlineLevel="0" collapsed="false">
      <c r="A180" s="10" t="s">
        <v>1143</v>
      </c>
      <c r="B180" s="10" t="s">
        <v>126</v>
      </c>
      <c r="C180" s="10" t="s">
        <v>125</v>
      </c>
      <c r="D180" s="10" t="n">
        <v>2024</v>
      </c>
      <c r="E180" s="10" t="s">
        <v>123</v>
      </c>
      <c r="F180" s="10" t="s">
        <v>127</v>
      </c>
      <c r="G180" s="10" t="s">
        <v>527</v>
      </c>
      <c r="H180" s="10" t="s">
        <v>25</v>
      </c>
      <c r="I180" s="10" t="s">
        <v>1144</v>
      </c>
    </row>
    <row r="181" customFormat="false" ht="51.75" hidden="false" customHeight="true" outlineLevel="0" collapsed="false">
      <c r="A181" s="9" t="s">
        <v>1145</v>
      </c>
      <c r="B181" s="9" t="s">
        <v>1146</v>
      </c>
      <c r="C181" s="9" t="s">
        <v>1147</v>
      </c>
      <c r="D181" s="9" t="n">
        <v>2024</v>
      </c>
      <c r="E181" s="9" t="s">
        <v>711</v>
      </c>
      <c r="F181" s="9" t="s">
        <v>1148</v>
      </c>
      <c r="G181" s="9" t="s">
        <v>507</v>
      </c>
      <c r="H181" s="9" t="s">
        <v>25</v>
      </c>
      <c r="I181" s="9" t="s">
        <v>1149</v>
      </c>
    </row>
    <row r="182" customFormat="false" ht="51.75" hidden="false" customHeight="true" outlineLevel="0" collapsed="false">
      <c r="A182" s="10" t="s">
        <v>1145</v>
      </c>
      <c r="B182" s="10" t="s">
        <v>1146</v>
      </c>
      <c r="C182" s="10" t="s">
        <v>1147</v>
      </c>
      <c r="D182" s="10" t="n">
        <v>2024</v>
      </c>
      <c r="E182" s="10" t="s">
        <v>711</v>
      </c>
      <c r="F182" s="10" t="s">
        <v>1148</v>
      </c>
      <c r="G182" s="10" t="s">
        <v>527</v>
      </c>
      <c r="H182" s="10" t="s">
        <v>25</v>
      </c>
      <c r="I182" s="10" t="s">
        <v>1149</v>
      </c>
    </row>
    <row r="183" customFormat="false" ht="39" hidden="false" customHeight="true" outlineLevel="0" collapsed="false">
      <c r="A183" s="9" t="s">
        <v>1150</v>
      </c>
      <c r="B183" s="9" t="s">
        <v>1151</v>
      </c>
      <c r="C183" s="9" t="s">
        <v>1152</v>
      </c>
      <c r="D183" s="9" t="n">
        <v>2024</v>
      </c>
      <c r="E183" s="9" t="s">
        <v>717</v>
      </c>
      <c r="F183" s="9" t="s">
        <v>1153</v>
      </c>
      <c r="G183" s="9" t="s">
        <v>527</v>
      </c>
      <c r="H183" s="9" t="s">
        <v>25</v>
      </c>
      <c r="I183" s="9" t="s">
        <v>1154</v>
      </c>
    </row>
    <row r="184" customFormat="false" ht="39" hidden="false" customHeight="true" outlineLevel="0" collapsed="false">
      <c r="A184" s="10" t="s">
        <v>1155</v>
      </c>
      <c r="B184" s="10" t="s">
        <v>1156</v>
      </c>
      <c r="C184" s="10" t="s">
        <v>1157</v>
      </c>
      <c r="D184" s="10" t="n">
        <v>2024</v>
      </c>
      <c r="E184" s="10" t="s">
        <v>123</v>
      </c>
      <c r="F184" s="10" t="s">
        <v>1158</v>
      </c>
      <c r="G184" s="10" t="s">
        <v>527</v>
      </c>
      <c r="H184" s="10" t="s">
        <v>25</v>
      </c>
      <c r="I184" s="10" t="s">
        <v>1159</v>
      </c>
    </row>
    <row r="185" customFormat="false" ht="51.75" hidden="false" customHeight="true" outlineLevel="0" collapsed="false">
      <c r="A185" s="9" t="s">
        <v>1160</v>
      </c>
      <c r="B185" s="9" t="s">
        <v>165</v>
      </c>
      <c r="C185" s="9" t="s">
        <v>164</v>
      </c>
      <c r="D185" s="9" t="n">
        <v>2024</v>
      </c>
      <c r="E185" s="9" t="s">
        <v>166</v>
      </c>
      <c r="F185" s="9" t="s">
        <v>167</v>
      </c>
      <c r="G185" s="9" t="s">
        <v>507</v>
      </c>
      <c r="H185" s="9" t="s">
        <v>25</v>
      </c>
      <c r="I185" s="9" t="s">
        <v>1161</v>
      </c>
    </row>
    <row r="186" customFormat="false" ht="51.75" hidden="false" customHeight="true" outlineLevel="0" collapsed="false">
      <c r="A186" s="10" t="s">
        <v>1160</v>
      </c>
      <c r="B186" s="10" t="s">
        <v>165</v>
      </c>
      <c r="C186" s="10" t="s">
        <v>164</v>
      </c>
      <c r="D186" s="10" t="n">
        <v>2024</v>
      </c>
      <c r="E186" s="10" t="s">
        <v>166</v>
      </c>
      <c r="F186" s="10" t="s">
        <v>167</v>
      </c>
      <c r="G186" s="10" t="s">
        <v>527</v>
      </c>
      <c r="H186" s="10" t="s">
        <v>25</v>
      </c>
      <c r="I186" s="10" t="s">
        <v>1161</v>
      </c>
    </row>
    <row r="187" customFormat="false" ht="25.5" hidden="false" customHeight="true" outlineLevel="0" collapsed="false">
      <c r="A187" s="9" t="s">
        <v>1162</v>
      </c>
      <c r="B187" s="9" t="s">
        <v>1163</v>
      </c>
      <c r="C187" s="9" t="s">
        <v>1164</v>
      </c>
      <c r="D187" s="9" t="n">
        <v>2024</v>
      </c>
      <c r="E187" s="9" t="s">
        <v>963</v>
      </c>
      <c r="F187" s="9" t="s">
        <v>1165</v>
      </c>
      <c r="G187" s="9" t="s">
        <v>527</v>
      </c>
      <c r="H187" s="9" t="s">
        <v>25</v>
      </c>
      <c r="I187" s="9" t="s">
        <v>1166</v>
      </c>
    </row>
    <row r="188" customFormat="false" ht="39" hidden="false" customHeight="true" outlineLevel="0" collapsed="false">
      <c r="A188" s="10" t="s">
        <v>1167</v>
      </c>
      <c r="B188" s="10" t="s">
        <v>1168</v>
      </c>
      <c r="C188" s="10" t="s">
        <v>1169</v>
      </c>
      <c r="D188" s="10" t="n">
        <v>2024</v>
      </c>
      <c r="E188" s="10" t="s">
        <v>1170</v>
      </c>
      <c r="F188" s="10" t="s">
        <v>1171</v>
      </c>
      <c r="G188" s="10" t="s">
        <v>527</v>
      </c>
      <c r="H188" s="10" t="s">
        <v>25</v>
      </c>
      <c r="I188" s="10" t="s">
        <v>1172</v>
      </c>
    </row>
    <row r="189" customFormat="false" ht="39" hidden="false" customHeight="true" outlineLevel="0" collapsed="false">
      <c r="A189" s="9" t="s">
        <v>1173</v>
      </c>
      <c r="B189" s="9" t="s">
        <v>1174</v>
      </c>
      <c r="C189" s="9" t="s">
        <v>1175</v>
      </c>
      <c r="D189" s="9" t="n">
        <v>2024</v>
      </c>
      <c r="E189" s="9" t="s">
        <v>717</v>
      </c>
      <c r="F189" s="9" t="s">
        <v>1176</v>
      </c>
      <c r="G189" s="9" t="s">
        <v>507</v>
      </c>
      <c r="H189" s="9" t="s">
        <v>25</v>
      </c>
      <c r="I189" s="9" t="s">
        <v>1177</v>
      </c>
    </row>
    <row r="190" customFormat="false" ht="39" hidden="false" customHeight="true" outlineLevel="0" collapsed="false">
      <c r="A190" s="10" t="s">
        <v>1173</v>
      </c>
      <c r="B190" s="10" t="s">
        <v>1174</v>
      </c>
      <c r="C190" s="10" t="s">
        <v>1175</v>
      </c>
      <c r="D190" s="10" t="n">
        <v>2024</v>
      </c>
      <c r="E190" s="10" t="s">
        <v>717</v>
      </c>
      <c r="F190" s="10" t="s">
        <v>1176</v>
      </c>
      <c r="G190" s="10" t="s">
        <v>527</v>
      </c>
      <c r="H190" s="10" t="s">
        <v>25</v>
      </c>
      <c r="I190" s="10" t="s">
        <v>1177</v>
      </c>
    </row>
    <row r="191" customFormat="false" ht="25.5" hidden="false" customHeight="true" outlineLevel="0" collapsed="false">
      <c r="A191" s="9" t="s">
        <v>1178</v>
      </c>
      <c r="B191" s="9" t="s">
        <v>1179</v>
      </c>
      <c r="C191" s="9" t="s">
        <v>1180</v>
      </c>
      <c r="D191" s="9" t="n">
        <v>2024</v>
      </c>
      <c r="E191" s="9" t="s">
        <v>1181</v>
      </c>
      <c r="F191" s="9" t="s">
        <v>1182</v>
      </c>
      <c r="G191" s="9" t="s">
        <v>507</v>
      </c>
      <c r="H191" s="9" t="s">
        <v>514</v>
      </c>
      <c r="I191" s="9" t="s">
        <v>1183</v>
      </c>
    </row>
    <row r="192" customFormat="false" ht="25.5" hidden="false" customHeight="true" outlineLevel="0" collapsed="false">
      <c r="A192" s="10" t="s">
        <v>1178</v>
      </c>
      <c r="B192" s="10" t="s">
        <v>1179</v>
      </c>
      <c r="C192" s="10" t="s">
        <v>1180</v>
      </c>
      <c r="D192" s="10" t="n">
        <v>2024</v>
      </c>
      <c r="E192" s="10" t="s">
        <v>1181</v>
      </c>
      <c r="F192" s="10" t="s">
        <v>1182</v>
      </c>
      <c r="G192" s="10" t="s">
        <v>527</v>
      </c>
      <c r="H192" s="10" t="s">
        <v>514</v>
      </c>
      <c r="I192" s="10" t="s">
        <v>1183</v>
      </c>
    </row>
    <row r="193" customFormat="false" ht="25.5" hidden="false" customHeight="true" outlineLevel="0" collapsed="false">
      <c r="A193" s="9" t="s">
        <v>1184</v>
      </c>
      <c r="B193" s="9" t="s">
        <v>360</v>
      </c>
      <c r="C193" s="9" t="s">
        <v>359</v>
      </c>
      <c r="D193" s="9" t="n">
        <v>2024</v>
      </c>
      <c r="E193" s="9" t="s">
        <v>254</v>
      </c>
      <c r="F193" s="9" t="s">
        <v>361</v>
      </c>
      <c r="G193" s="9" t="s">
        <v>527</v>
      </c>
      <c r="H193" s="9" t="s">
        <v>25</v>
      </c>
      <c r="I193" s="9" t="s">
        <v>1185</v>
      </c>
    </row>
    <row r="194" customFormat="false" ht="39" hidden="false" customHeight="true" outlineLevel="0" collapsed="false">
      <c r="A194" s="10" t="s">
        <v>1186</v>
      </c>
      <c r="B194" s="10" t="s">
        <v>1187</v>
      </c>
      <c r="C194" s="10" t="s">
        <v>1188</v>
      </c>
      <c r="D194" s="10" t="n">
        <v>2024</v>
      </c>
      <c r="E194" s="10" t="s">
        <v>123</v>
      </c>
      <c r="F194" s="10" t="s">
        <v>1189</v>
      </c>
      <c r="G194" s="10" t="s">
        <v>527</v>
      </c>
      <c r="H194" s="10" t="s">
        <v>335</v>
      </c>
      <c r="I194" s="10" t="s">
        <v>1190</v>
      </c>
    </row>
    <row r="195" customFormat="false" ht="25.5" hidden="false" customHeight="true" outlineLevel="0" collapsed="false">
      <c r="A195" s="9" t="s">
        <v>1191</v>
      </c>
      <c r="B195" s="9" t="s">
        <v>1192</v>
      </c>
      <c r="C195" s="9" t="s">
        <v>1193</v>
      </c>
      <c r="D195" s="9" t="n">
        <v>2024</v>
      </c>
      <c r="E195" s="9" t="s">
        <v>963</v>
      </c>
      <c r="F195" s="9" t="s">
        <v>1194</v>
      </c>
      <c r="G195" s="9" t="s">
        <v>507</v>
      </c>
      <c r="H195" s="9" t="s">
        <v>25</v>
      </c>
      <c r="I195" s="9" t="s">
        <v>1195</v>
      </c>
    </row>
    <row r="196" customFormat="false" ht="25.5" hidden="false" customHeight="true" outlineLevel="0" collapsed="false">
      <c r="A196" s="10" t="s">
        <v>1191</v>
      </c>
      <c r="B196" s="10" t="s">
        <v>1192</v>
      </c>
      <c r="C196" s="10" t="s">
        <v>1193</v>
      </c>
      <c r="D196" s="10" t="n">
        <v>2024</v>
      </c>
      <c r="E196" s="10" t="s">
        <v>963</v>
      </c>
      <c r="F196" s="10" t="s">
        <v>1194</v>
      </c>
      <c r="G196" s="10" t="s">
        <v>527</v>
      </c>
      <c r="H196" s="10" t="s">
        <v>25</v>
      </c>
      <c r="I196" s="10" t="s">
        <v>1195</v>
      </c>
    </row>
    <row r="197" customFormat="false" ht="39" hidden="false" customHeight="true" outlineLevel="0" collapsed="false">
      <c r="A197" s="9" t="s">
        <v>1196</v>
      </c>
      <c r="B197" s="9" t="s">
        <v>1197</v>
      </c>
      <c r="C197" s="9" t="s">
        <v>1198</v>
      </c>
      <c r="D197" s="9" t="n">
        <v>2024</v>
      </c>
      <c r="E197" s="9" t="s">
        <v>1199</v>
      </c>
      <c r="F197" s="9" t="s">
        <v>1200</v>
      </c>
      <c r="G197" s="9" t="s">
        <v>507</v>
      </c>
      <c r="H197" s="9" t="s">
        <v>25</v>
      </c>
      <c r="I197" s="9" t="s">
        <v>1201</v>
      </c>
    </row>
    <row r="198" customFormat="false" ht="39" hidden="false" customHeight="true" outlineLevel="0" collapsed="false">
      <c r="A198" s="10" t="s">
        <v>1196</v>
      </c>
      <c r="B198" s="10" t="s">
        <v>1197</v>
      </c>
      <c r="C198" s="10" t="s">
        <v>1198</v>
      </c>
      <c r="D198" s="10" t="n">
        <v>2024</v>
      </c>
      <c r="E198" s="10" t="s">
        <v>1199</v>
      </c>
      <c r="F198" s="10" t="s">
        <v>1200</v>
      </c>
      <c r="G198" s="10" t="s">
        <v>527</v>
      </c>
      <c r="H198" s="10" t="s">
        <v>25</v>
      </c>
      <c r="I198" s="10" t="s">
        <v>1201</v>
      </c>
    </row>
    <row r="199" customFormat="false" ht="64.5" hidden="false" customHeight="true" outlineLevel="0" collapsed="false">
      <c r="A199" s="9" t="s">
        <v>1202</v>
      </c>
      <c r="B199" s="9" t="s">
        <v>1203</v>
      </c>
      <c r="C199" s="9" t="s">
        <v>1204</v>
      </c>
      <c r="D199" s="9" t="n">
        <v>2023</v>
      </c>
      <c r="E199" s="9" t="s">
        <v>254</v>
      </c>
      <c r="F199" s="9" t="s">
        <v>1205</v>
      </c>
      <c r="G199" s="9" t="s">
        <v>507</v>
      </c>
      <c r="H199" s="9" t="s">
        <v>25</v>
      </c>
      <c r="I199" s="9" t="s">
        <v>1206</v>
      </c>
    </row>
    <row r="200" customFormat="false" ht="64.5" hidden="false" customHeight="true" outlineLevel="0" collapsed="false">
      <c r="A200" s="10" t="s">
        <v>1202</v>
      </c>
      <c r="B200" s="10" t="s">
        <v>1203</v>
      </c>
      <c r="C200" s="10" t="s">
        <v>1204</v>
      </c>
      <c r="D200" s="10" t="n">
        <v>2023</v>
      </c>
      <c r="E200" s="10" t="s">
        <v>254</v>
      </c>
      <c r="F200" s="10" t="s">
        <v>1205</v>
      </c>
      <c r="G200" s="10" t="s">
        <v>527</v>
      </c>
      <c r="H200" s="10" t="s">
        <v>25</v>
      </c>
      <c r="I200" s="10" t="s">
        <v>1206</v>
      </c>
    </row>
    <row r="201" customFormat="false" ht="39" hidden="false" customHeight="true" outlineLevel="0" collapsed="false">
      <c r="A201" s="9" t="s">
        <v>1207</v>
      </c>
      <c r="B201" s="9" t="s">
        <v>1208</v>
      </c>
      <c r="C201" s="9" t="s">
        <v>1209</v>
      </c>
      <c r="D201" s="9" t="n">
        <v>2023</v>
      </c>
      <c r="E201" s="9" t="s">
        <v>1210</v>
      </c>
      <c r="F201" s="9" t="s">
        <v>1211</v>
      </c>
      <c r="G201" s="9" t="s">
        <v>507</v>
      </c>
      <c r="H201" s="9" t="s">
        <v>335</v>
      </c>
      <c r="I201" s="9" t="s">
        <v>1212</v>
      </c>
    </row>
    <row r="202" customFormat="false" ht="25.5" hidden="false" customHeight="true" outlineLevel="0" collapsed="false">
      <c r="A202" s="10" t="s">
        <v>1213</v>
      </c>
      <c r="B202" s="10" t="s">
        <v>341</v>
      </c>
      <c r="C202" s="10" t="s">
        <v>340</v>
      </c>
      <c r="D202" s="10" t="n">
        <v>2023</v>
      </c>
      <c r="E202" s="10" t="s">
        <v>342</v>
      </c>
      <c r="F202" s="10" t="s">
        <v>343</v>
      </c>
      <c r="G202" s="10" t="s">
        <v>527</v>
      </c>
      <c r="H202" s="10" t="s">
        <v>25</v>
      </c>
      <c r="I202" s="10" t="s">
        <v>1214</v>
      </c>
    </row>
    <row r="203" customFormat="false" ht="25.5" hidden="false" customHeight="true" outlineLevel="0" collapsed="false">
      <c r="A203" s="9" t="s">
        <v>1215</v>
      </c>
      <c r="B203" s="9" t="s">
        <v>1216</v>
      </c>
      <c r="C203" s="9" t="s">
        <v>1217</v>
      </c>
      <c r="D203" s="9" t="n">
        <v>2023</v>
      </c>
      <c r="E203" s="9" t="s">
        <v>66</v>
      </c>
      <c r="F203" s="9" t="s">
        <v>1218</v>
      </c>
      <c r="G203" s="9" t="s">
        <v>507</v>
      </c>
      <c r="H203" s="9" t="s">
        <v>25</v>
      </c>
      <c r="I203" s="9" t="s">
        <v>1219</v>
      </c>
    </row>
    <row r="204" customFormat="false" ht="39" hidden="false" customHeight="true" outlineLevel="0" collapsed="false">
      <c r="A204" s="10" t="s">
        <v>1220</v>
      </c>
      <c r="B204" s="10" t="s">
        <v>1221</v>
      </c>
      <c r="C204" s="10" t="s">
        <v>1222</v>
      </c>
      <c r="D204" s="10" t="n">
        <v>2023</v>
      </c>
      <c r="E204" s="10" t="s">
        <v>254</v>
      </c>
      <c r="F204" s="10" t="s">
        <v>1223</v>
      </c>
      <c r="G204" s="10" t="s">
        <v>507</v>
      </c>
      <c r="H204" s="10" t="s">
        <v>25</v>
      </c>
      <c r="I204" s="10" t="s">
        <v>1224</v>
      </c>
    </row>
    <row r="205" customFormat="false" ht="64.5" hidden="false" customHeight="true" outlineLevel="0" collapsed="false">
      <c r="A205" s="9" t="s">
        <v>1225</v>
      </c>
      <c r="B205" s="9" t="s">
        <v>1226</v>
      </c>
      <c r="C205" s="9" t="s">
        <v>1227</v>
      </c>
      <c r="D205" s="9" t="n">
        <v>2023</v>
      </c>
      <c r="E205" s="9" t="s">
        <v>1228</v>
      </c>
      <c r="F205" s="9" t="s">
        <v>1229</v>
      </c>
      <c r="G205" s="9" t="s">
        <v>507</v>
      </c>
      <c r="H205" s="9" t="s">
        <v>25</v>
      </c>
      <c r="I205" s="9" t="s">
        <v>1230</v>
      </c>
    </row>
    <row r="206" customFormat="false" ht="39" hidden="false" customHeight="true" outlineLevel="0" collapsed="false">
      <c r="A206" s="10" t="s">
        <v>1231</v>
      </c>
      <c r="B206" s="10" t="s">
        <v>1232</v>
      </c>
      <c r="C206" s="10" t="s">
        <v>1233</v>
      </c>
      <c r="D206" s="10" t="n">
        <v>2023</v>
      </c>
      <c r="E206" s="10" t="s">
        <v>1234</v>
      </c>
      <c r="F206" s="10" t="s">
        <v>1235</v>
      </c>
      <c r="G206" s="10" t="s">
        <v>527</v>
      </c>
      <c r="H206" s="10" t="s">
        <v>25</v>
      </c>
      <c r="I206" s="10" t="s">
        <v>1236</v>
      </c>
    </row>
    <row r="207" customFormat="false" ht="64.5" hidden="false" customHeight="true" outlineLevel="0" collapsed="false">
      <c r="A207" s="9" t="s">
        <v>1237</v>
      </c>
      <c r="B207" s="9" t="s">
        <v>1238</v>
      </c>
      <c r="C207" s="9" t="s">
        <v>1239</v>
      </c>
      <c r="D207" s="9" t="n">
        <v>2023</v>
      </c>
      <c r="E207" s="9" t="s">
        <v>107</v>
      </c>
      <c r="F207" s="9" t="s">
        <v>1240</v>
      </c>
      <c r="G207" s="9" t="s">
        <v>507</v>
      </c>
      <c r="H207" s="9" t="s">
        <v>25</v>
      </c>
      <c r="I207" s="9" t="s">
        <v>1241</v>
      </c>
    </row>
    <row r="208" customFormat="false" ht="64.5" hidden="false" customHeight="true" outlineLevel="0" collapsed="false">
      <c r="A208" s="10" t="s">
        <v>1237</v>
      </c>
      <c r="B208" s="10" t="s">
        <v>1238</v>
      </c>
      <c r="C208" s="10" t="s">
        <v>1239</v>
      </c>
      <c r="D208" s="10" t="n">
        <v>2023</v>
      </c>
      <c r="E208" s="10" t="s">
        <v>107</v>
      </c>
      <c r="F208" s="10" t="s">
        <v>1240</v>
      </c>
      <c r="G208" s="10" t="s">
        <v>527</v>
      </c>
      <c r="H208" s="10" t="s">
        <v>25</v>
      </c>
      <c r="I208" s="10" t="s">
        <v>1241</v>
      </c>
    </row>
    <row r="209" customFormat="false" ht="78" hidden="false" customHeight="true" outlineLevel="0" collapsed="false">
      <c r="A209" s="9" t="s">
        <v>1242</v>
      </c>
      <c r="B209" s="9" t="s">
        <v>1243</v>
      </c>
      <c r="C209" s="9" t="s">
        <v>1244</v>
      </c>
      <c r="D209" s="9" t="n">
        <v>2023</v>
      </c>
      <c r="E209" s="9" t="s">
        <v>376</v>
      </c>
      <c r="F209" s="9" t="s">
        <v>1245</v>
      </c>
      <c r="G209" s="9" t="s">
        <v>527</v>
      </c>
      <c r="H209" s="9" t="s">
        <v>25</v>
      </c>
      <c r="I209" s="9" t="s">
        <v>1246</v>
      </c>
    </row>
    <row r="210" customFormat="false" ht="39" hidden="false" customHeight="true" outlineLevel="0" collapsed="false">
      <c r="A210" s="10" t="s">
        <v>1247</v>
      </c>
      <c r="B210" s="10" t="s">
        <v>287</v>
      </c>
      <c r="C210" s="10" t="s">
        <v>286</v>
      </c>
      <c r="D210" s="10" t="n">
        <v>2023</v>
      </c>
      <c r="E210" s="10" t="s">
        <v>288</v>
      </c>
      <c r="F210" s="10" t="s">
        <v>289</v>
      </c>
      <c r="G210" s="10" t="s">
        <v>507</v>
      </c>
      <c r="H210" s="10" t="s">
        <v>25</v>
      </c>
      <c r="I210" s="10" t="s">
        <v>1248</v>
      </c>
    </row>
    <row r="211" customFormat="false" ht="39" hidden="false" customHeight="true" outlineLevel="0" collapsed="false">
      <c r="A211" s="9" t="s">
        <v>1247</v>
      </c>
      <c r="B211" s="9" t="s">
        <v>287</v>
      </c>
      <c r="C211" s="9" t="s">
        <v>286</v>
      </c>
      <c r="D211" s="9" t="n">
        <v>2023</v>
      </c>
      <c r="E211" s="9" t="s">
        <v>288</v>
      </c>
      <c r="F211" s="9" t="s">
        <v>289</v>
      </c>
      <c r="G211" s="9" t="s">
        <v>527</v>
      </c>
      <c r="H211" s="9" t="s">
        <v>25</v>
      </c>
      <c r="I211" s="9" t="s">
        <v>1248</v>
      </c>
    </row>
    <row r="212" customFormat="false" ht="39" hidden="false" customHeight="true" outlineLevel="0" collapsed="false">
      <c r="A212" s="10" t="s">
        <v>1249</v>
      </c>
      <c r="B212" s="10" t="s">
        <v>1250</v>
      </c>
      <c r="C212" s="10" t="s">
        <v>1251</v>
      </c>
      <c r="D212" s="10" t="n">
        <v>2023</v>
      </c>
      <c r="E212" s="10" t="s">
        <v>1252</v>
      </c>
      <c r="F212" s="10" t="s">
        <v>1253</v>
      </c>
      <c r="G212" s="10" t="s">
        <v>507</v>
      </c>
      <c r="H212" s="10" t="s">
        <v>25</v>
      </c>
      <c r="I212" s="10" t="s">
        <v>1254</v>
      </c>
    </row>
    <row r="213" customFormat="false" ht="25.5" hidden="false" customHeight="true" outlineLevel="0" collapsed="false">
      <c r="A213" s="9" t="s">
        <v>1255</v>
      </c>
      <c r="B213" s="9" t="s">
        <v>1256</v>
      </c>
      <c r="C213" s="9" t="s">
        <v>89</v>
      </c>
      <c r="D213" s="9" t="n">
        <v>2023</v>
      </c>
      <c r="E213" s="9" t="s">
        <v>134</v>
      </c>
      <c r="F213" s="9" t="s">
        <v>92</v>
      </c>
      <c r="G213" s="9" t="s">
        <v>507</v>
      </c>
      <c r="H213" s="9" t="s">
        <v>25</v>
      </c>
      <c r="I213" s="9" t="s">
        <v>1257</v>
      </c>
    </row>
    <row r="214" customFormat="false" ht="39" hidden="false" customHeight="true" outlineLevel="0" collapsed="false">
      <c r="A214" s="10" t="s">
        <v>1258</v>
      </c>
      <c r="B214" s="10" t="s">
        <v>1259</v>
      </c>
      <c r="C214" s="10" t="s">
        <v>1260</v>
      </c>
      <c r="D214" s="10" t="n">
        <v>2023</v>
      </c>
      <c r="E214" s="10" t="s">
        <v>1018</v>
      </c>
      <c r="F214" s="10" t="s">
        <v>1261</v>
      </c>
      <c r="G214" s="10" t="s">
        <v>507</v>
      </c>
      <c r="H214" s="10" t="s">
        <v>335</v>
      </c>
      <c r="I214" s="10" t="s">
        <v>1262</v>
      </c>
    </row>
    <row r="215" customFormat="false" ht="39" hidden="false" customHeight="true" outlineLevel="0" collapsed="false">
      <c r="A215" s="9" t="s">
        <v>1258</v>
      </c>
      <c r="B215" s="9" t="s">
        <v>1259</v>
      </c>
      <c r="C215" s="9" t="s">
        <v>1260</v>
      </c>
      <c r="D215" s="9" t="n">
        <v>2023</v>
      </c>
      <c r="E215" s="9" t="s">
        <v>1018</v>
      </c>
      <c r="F215" s="9" t="s">
        <v>1261</v>
      </c>
      <c r="G215" s="9" t="s">
        <v>527</v>
      </c>
      <c r="H215" s="9" t="s">
        <v>335</v>
      </c>
      <c r="I215" s="9" t="s">
        <v>1262</v>
      </c>
    </row>
    <row r="216" customFormat="false" ht="39" hidden="false" customHeight="true" outlineLevel="0" collapsed="false">
      <c r="A216" s="10" t="s">
        <v>1263</v>
      </c>
      <c r="B216" s="10" t="s">
        <v>1264</v>
      </c>
      <c r="C216" s="10" t="s">
        <v>1265</v>
      </c>
      <c r="D216" s="10" t="n">
        <v>2023</v>
      </c>
      <c r="E216" s="10" t="s">
        <v>1266</v>
      </c>
      <c r="F216" s="10" t="s">
        <v>1267</v>
      </c>
      <c r="G216" s="10" t="s">
        <v>507</v>
      </c>
      <c r="H216" s="10" t="s">
        <v>25</v>
      </c>
      <c r="I216" s="10" t="s">
        <v>1268</v>
      </c>
    </row>
    <row r="217" customFormat="false" ht="39" hidden="false" customHeight="true" outlineLevel="0" collapsed="false">
      <c r="A217" s="9" t="s">
        <v>1263</v>
      </c>
      <c r="B217" s="9" t="s">
        <v>1264</v>
      </c>
      <c r="C217" s="9" t="s">
        <v>1265</v>
      </c>
      <c r="D217" s="9" t="n">
        <v>2023</v>
      </c>
      <c r="E217" s="9" t="s">
        <v>1266</v>
      </c>
      <c r="F217" s="9" t="s">
        <v>1267</v>
      </c>
      <c r="G217" s="9" t="s">
        <v>527</v>
      </c>
      <c r="H217" s="9" t="s">
        <v>25</v>
      </c>
      <c r="I217" s="9" t="s">
        <v>1268</v>
      </c>
    </row>
    <row r="218" customFormat="false" ht="39" hidden="false" customHeight="true" outlineLevel="0" collapsed="false">
      <c r="A218" s="10" t="s">
        <v>1269</v>
      </c>
      <c r="B218" s="10" t="s">
        <v>1270</v>
      </c>
      <c r="C218" s="10" t="s">
        <v>1271</v>
      </c>
      <c r="D218" s="10" t="n">
        <v>2023</v>
      </c>
      <c r="E218" s="10" t="s">
        <v>1272</v>
      </c>
      <c r="F218" s="10" t="s">
        <v>1273</v>
      </c>
      <c r="G218" s="10" t="s">
        <v>507</v>
      </c>
      <c r="H218" s="10" t="s">
        <v>335</v>
      </c>
      <c r="I218" s="10" t="s">
        <v>1274</v>
      </c>
    </row>
    <row r="219" customFormat="false" ht="39" hidden="false" customHeight="true" outlineLevel="0" collapsed="false">
      <c r="A219" s="9" t="s">
        <v>1269</v>
      </c>
      <c r="B219" s="9" t="s">
        <v>1270</v>
      </c>
      <c r="C219" s="9" t="s">
        <v>1271</v>
      </c>
      <c r="D219" s="9" t="n">
        <v>2023</v>
      </c>
      <c r="E219" s="9" t="s">
        <v>1272</v>
      </c>
      <c r="F219" s="9" t="s">
        <v>1273</v>
      </c>
      <c r="G219" s="9" t="s">
        <v>527</v>
      </c>
      <c r="H219" s="9" t="s">
        <v>335</v>
      </c>
      <c r="I219" s="9" t="s">
        <v>1274</v>
      </c>
    </row>
    <row r="220" customFormat="false" ht="25.5" hidden="false" customHeight="true" outlineLevel="0" collapsed="false">
      <c r="A220" s="10" t="s">
        <v>1275</v>
      </c>
      <c r="B220" s="10" t="s">
        <v>1276</v>
      </c>
      <c r="C220" s="10" t="s">
        <v>1277</v>
      </c>
      <c r="D220" s="10" t="n">
        <v>2023</v>
      </c>
      <c r="E220" s="10" t="s">
        <v>107</v>
      </c>
      <c r="F220" s="10" t="s">
        <v>1278</v>
      </c>
      <c r="G220" s="10" t="s">
        <v>507</v>
      </c>
      <c r="H220" s="10" t="s">
        <v>25</v>
      </c>
      <c r="I220" s="10" t="s">
        <v>1279</v>
      </c>
    </row>
    <row r="221" customFormat="false" ht="25.5" hidden="false" customHeight="true" outlineLevel="0" collapsed="false">
      <c r="A221" s="9" t="s">
        <v>1275</v>
      </c>
      <c r="B221" s="9" t="s">
        <v>1276</v>
      </c>
      <c r="C221" s="9" t="s">
        <v>1277</v>
      </c>
      <c r="D221" s="9" t="n">
        <v>2023</v>
      </c>
      <c r="E221" s="9" t="s">
        <v>107</v>
      </c>
      <c r="F221" s="9" t="s">
        <v>1278</v>
      </c>
      <c r="G221" s="9" t="s">
        <v>527</v>
      </c>
      <c r="H221" s="9" t="s">
        <v>25</v>
      </c>
      <c r="I221" s="9" t="s">
        <v>1279</v>
      </c>
    </row>
    <row r="222" customFormat="false" ht="39" hidden="false" customHeight="true" outlineLevel="0" collapsed="false">
      <c r="A222" s="10" t="s">
        <v>1280</v>
      </c>
      <c r="B222" s="10" t="s">
        <v>1281</v>
      </c>
      <c r="C222" s="10" t="s">
        <v>1282</v>
      </c>
      <c r="D222" s="10" t="n">
        <v>2023</v>
      </c>
      <c r="E222" s="10" t="s">
        <v>254</v>
      </c>
      <c r="F222" s="10" t="s">
        <v>1283</v>
      </c>
      <c r="G222" s="10" t="s">
        <v>507</v>
      </c>
      <c r="H222" s="10" t="s">
        <v>25</v>
      </c>
      <c r="I222" s="10" t="s">
        <v>1284</v>
      </c>
    </row>
    <row r="223" customFormat="false" ht="25.5" hidden="false" customHeight="true" outlineLevel="0" collapsed="false">
      <c r="A223" s="9" t="s">
        <v>1285</v>
      </c>
      <c r="B223" s="9" t="s">
        <v>1286</v>
      </c>
      <c r="C223" s="9" t="s">
        <v>1287</v>
      </c>
      <c r="D223" s="9" t="n">
        <v>2023</v>
      </c>
      <c r="E223" s="9" t="s">
        <v>130</v>
      </c>
      <c r="F223" s="9" t="s">
        <v>1288</v>
      </c>
      <c r="G223" s="9" t="s">
        <v>527</v>
      </c>
      <c r="H223" s="9" t="s">
        <v>25</v>
      </c>
      <c r="I223" s="9" t="s">
        <v>1289</v>
      </c>
    </row>
    <row r="224" customFormat="false" ht="64.5" hidden="false" customHeight="true" outlineLevel="0" collapsed="false">
      <c r="A224" s="10" t="s">
        <v>1290</v>
      </c>
      <c r="B224" s="10" t="s">
        <v>1291</v>
      </c>
      <c r="C224" s="10" t="s">
        <v>1292</v>
      </c>
      <c r="D224" s="10" t="n">
        <v>2023</v>
      </c>
      <c r="E224" s="10" t="s">
        <v>107</v>
      </c>
      <c r="F224" s="10" t="s">
        <v>1293</v>
      </c>
      <c r="G224" s="10" t="s">
        <v>527</v>
      </c>
      <c r="H224" s="10" t="s">
        <v>25</v>
      </c>
      <c r="I224" s="10" t="s">
        <v>1294</v>
      </c>
    </row>
    <row r="225" customFormat="false" ht="51.75" hidden="false" customHeight="true" outlineLevel="0" collapsed="false">
      <c r="A225" s="9" t="s">
        <v>1295</v>
      </c>
      <c r="B225" s="9" t="s">
        <v>1296</v>
      </c>
      <c r="C225" s="9" t="s">
        <v>1297</v>
      </c>
      <c r="D225" s="9" t="n">
        <v>2023</v>
      </c>
      <c r="E225" s="9" t="s">
        <v>81</v>
      </c>
      <c r="F225" s="9" t="s">
        <v>1298</v>
      </c>
      <c r="G225" s="9" t="s">
        <v>527</v>
      </c>
      <c r="H225" s="9" t="s">
        <v>25</v>
      </c>
      <c r="I225" s="9" t="s">
        <v>1299</v>
      </c>
    </row>
    <row r="226" customFormat="false" ht="39" hidden="false" customHeight="true" outlineLevel="0" collapsed="false">
      <c r="A226" s="10" t="s">
        <v>1300</v>
      </c>
      <c r="B226" s="10" t="s">
        <v>1301</v>
      </c>
      <c r="C226" s="10" t="s">
        <v>1302</v>
      </c>
      <c r="D226" s="10" t="n">
        <v>2023</v>
      </c>
      <c r="E226" s="10" t="s">
        <v>1303</v>
      </c>
      <c r="F226" s="10" t="s">
        <v>1304</v>
      </c>
      <c r="G226" s="10" t="s">
        <v>507</v>
      </c>
      <c r="H226" s="10" t="s">
        <v>25</v>
      </c>
      <c r="I226" s="10" t="s">
        <v>1305</v>
      </c>
    </row>
    <row r="227" customFormat="false" ht="25.5" hidden="false" customHeight="true" outlineLevel="0" collapsed="false">
      <c r="A227" s="9" t="s">
        <v>1306</v>
      </c>
      <c r="B227" s="9" t="s">
        <v>1307</v>
      </c>
      <c r="C227" s="9" t="s">
        <v>1308</v>
      </c>
      <c r="D227" s="9" t="n">
        <v>2023</v>
      </c>
      <c r="E227" s="9" t="s">
        <v>1309</v>
      </c>
      <c r="F227" s="9" t="s">
        <v>1310</v>
      </c>
      <c r="G227" s="9" t="s">
        <v>507</v>
      </c>
      <c r="H227" s="9" t="s">
        <v>514</v>
      </c>
      <c r="I227" s="9" t="s">
        <v>1311</v>
      </c>
    </row>
    <row r="228" customFormat="false" ht="25.5" hidden="false" customHeight="true" outlineLevel="0" collapsed="false">
      <c r="A228" s="10" t="s">
        <v>1306</v>
      </c>
      <c r="B228" s="10" t="s">
        <v>1307</v>
      </c>
      <c r="C228" s="10" t="s">
        <v>1308</v>
      </c>
      <c r="D228" s="10" t="n">
        <v>2023</v>
      </c>
      <c r="E228" s="10" t="s">
        <v>1309</v>
      </c>
      <c r="F228" s="10" t="s">
        <v>1310</v>
      </c>
      <c r="G228" s="10" t="s">
        <v>527</v>
      </c>
      <c r="H228" s="10" t="s">
        <v>514</v>
      </c>
      <c r="I228" s="10" t="s">
        <v>1311</v>
      </c>
    </row>
    <row r="229" customFormat="false" ht="25.5" hidden="false" customHeight="true" outlineLevel="0" collapsed="false">
      <c r="A229" s="9" t="s">
        <v>1312</v>
      </c>
      <c r="B229" s="9" t="s">
        <v>1313</v>
      </c>
      <c r="C229" s="9" t="s">
        <v>1314</v>
      </c>
      <c r="D229" s="9" t="n">
        <v>2023</v>
      </c>
      <c r="E229" s="9" t="s">
        <v>1315</v>
      </c>
      <c r="F229" s="9" t="s">
        <v>1316</v>
      </c>
      <c r="G229" s="9" t="s">
        <v>527</v>
      </c>
      <c r="H229" s="9" t="s">
        <v>25</v>
      </c>
      <c r="I229" s="9" t="s">
        <v>1317</v>
      </c>
    </row>
    <row r="230" customFormat="false" ht="39" hidden="false" customHeight="true" outlineLevel="0" collapsed="false">
      <c r="A230" s="10" t="s">
        <v>1318</v>
      </c>
      <c r="B230" s="10" t="s">
        <v>1319</v>
      </c>
      <c r="C230" s="10" t="s">
        <v>1320</v>
      </c>
      <c r="D230" s="10" t="n">
        <v>2023</v>
      </c>
      <c r="E230" s="10" t="s">
        <v>1228</v>
      </c>
      <c r="F230" s="10" t="s">
        <v>1321</v>
      </c>
      <c r="G230" s="10" t="s">
        <v>507</v>
      </c>
      <c r="H230" s="10" t="s">
        <v>25</v>
      </c>
      <c r="I230" s="10" t="s">
        <v>1322</v>
      </c>
    </row>
    <row r="231" customFormat="false" ht="39" hidden="false" customHeight="true" outlineLevel="0" collapsed="false">
      <c r="A231" s="9" t="s">
        <v>1318</v>
      </c>
      <c r="B231" s="9" t="s">
        <v>1319</v>
      </c>
      <c r="C231" s="9" t="s">
        <v>1320</v>
      </c>
      <c r="D231" s="9" t="n">
        <v>2023</v>
      </c>
      <c r="E231" s="9" t="s">
        <v>1228</v>
      </c>
      <c r="F231" s="9" t="s">
        <v>1321</v>
      </c>
      <c r="G231" s="9" t="s">
        <v>527</v>
      </c>
      <c r="H231" s="9" t="s">
        <v>25</v>
      </c>
      <c r="I231" s="9" t="s">
        <v>1322</v>
      </c>
    </row>
    <row r="232" customFormat="false" ht="25.5" hidden="false" customHeight="true" outlineLevel="0" collapsed="false">
      <c r="A232" s="10" t="s">
        <v>1323</v>
      </c>
      <c r="B232" s="10" t="s">
        <v>253</v>
      </c>
      <c r="C232" s="10" t="s">
        <v>252</v>
      </c>
      <c r="D232" s="10" t="n">
        <v>2023</v>
      </c>
      <c r="E232" s="10" t="s">
        <v>254</v>
      </c>
      <c r="F232" s="10" t="s">
        <v>255</v>
      </c>
      <c r="G232" s="10" t="s">
        <v>507</v>
      </c>
      <c r="H232" s="10" t="s">
        <v>25</v>
      </c>
      <c r="I232" s="10" t="s">
        <v>1324</v>
      </c>
    </row>
    <row r="233" customFormat="false" ht="25.5" hidden="false" customHeight="true" outlineLevel="0" collapsed="false">
      <c r="A233" s="9" t="s">
        <v>1323</v>
      </c>
      <c r="B233" s="9" t="s">
        <v>253</v>
      </c>
      <c r="C233" s="9" t="s">
        <v>252</v>
      </c>
      <c r="D233" s="9" t="n">
        <v>2023</v>
      </c>
      <c r="E233" s="9" t="s">
        <v>254</v>
      </c>
      <c r="F233" s="9" t="s">
        <v>255</v>
      </c>
      <c r="G233" s="9" t="s">
        <v>527</v>
      </c>
      <c r="H233" s="9" t="s">
        <v>25</v>
      </c>
      <c r="I233" s="9" t="s">
        <v>1324</v>
      </c>
    </row>
    <row r="234" customFormat="false" ht="39" hidden="false" customHeight="true" outlineLevel="0" collapsed="false">
      <c r="A234" s="10" t="s">
        <v>1325</v>
      </c>
      <c r="B234" s="10" t="s">
        <v>1326</v>
      </c>
      <c r="C234" s="10" t="s">
        <v>1327</v>
      </c>
      <c r="D234" s="10" t="n">
        <v>2023</v>
      </c>
      <c r="E234" s="10" t="s">
        <v>107</v>
      </c>
      <c r="F234" s="10" t="s">
        <v>1328</v>
      </c>
      <c r="G234" s="10" t="s">
        <v>507</v>
      </c>
      <c r="H234" s="10" t="s">
        <v>25</v>
      </c>
      <c r="I234" s="10" t="s">
        <v>1329</v>
      </c>
    </row>
    <row r="235" customFormat="false" ht="25.5" hidden="false" customHeight="true" outlineLevel="0" collapsed="false">
      <c r="A235" s="9" t="s">
        <v>1330</v>
      </c>
      <c r="B235" s="9" t="s">
        <v>1331</v>
      </c>
      <c r="C235" s="9" t="s">
        <v>1332</v>
      </c>
      <c r="D235" s="9" t="n">
        <v>2023</v>
      </c>
      <c r="E235" s="9" t="s">
        <v>1333</v>
      </c>
      <c r="F235" s="9" t="s">
        <v>1334</v>
      </c>
      <c r="G235" s="9" t="s">
        <v>507</v>
      </c>
      <c r="H235" s="9" t="s">
        <v>25</v>
      </c>
      <c r="I235" s="9" t="s">
        <v>1335</v>
      </c>
    </row>
    <row r="236" customFormat="false" ht="25.5" hidden="false" customHeight="true" outlineLevel="0" collapsed="false">
      <c r="A236" s="10" t="s">
        <v>1330</v>
      </c>
      <c r="B236" s="10" t="s">
        <v>1331</v>
      </c>
      <c r="C236" s="10" t="s">
        <v>1332</v>
      </c>
      <c r="D236" s="10" t="n">
        <v>2023</v>
      </c>
      <c r="E236" s="10" t="s">
        <v>1333</v>
      </c>
      <c r="F236" s="10" t="s">
        <v>1334</v>
      </c>
      <c r="G236" s="10" t="s">
        <v>527</v>
      </c>
      <c r="H236" s="10" t="s">
        <v>25</v>
      </c>
      <c r="I236" s="10" t="s">
        <v>1335</v>
      </c>
    </row>
    <row r="237" customFormat="false" ht="39" hidden="false" customHeight="true" outlineLevel="0" collapsed="false">
      <c r="A237" s="9" t="s">
        <v>1336</v>
      </c>
      <c r="B237" s="9" t="s">
        <v>154</v>
      </c>
      <c r="C237" s="9" t="s">
        <v>153</v>
      </c>
      <c r="D237" s="9" t="n">
        <v>2023</v>
      </c>
      <c r="E237" s="9" t="s">
        <v>155</v>
      </c>
      <c r="F237" s="9" t="s">
        <v>156</v>
      </c>
      <c r="G237" s="9" t="s">
        <v>507</v>
      </c>
      <c r="H237" s="9" t="s">
        <v>25</v>
      </c>
      <c r="I237" s="9" t="s">
        <v>1337</v>
      </c>
    </row>
    <row r="238" customFormat="false" ht="39" hidden="false" customHeight="true" outlineLevel="0" collapsed="false">
      <c r="A238" s="10" t="s">
        <v>1336</v>
      </c>
      <c r="B238" s="10" t="s">
        <v>154</v>
      </c>
      <c r="C238" s="10" t="s">
        <v>153</v>
      </c>
      <c r="D238" s="10" t="n">
        <v>2023</v>
      </c>
      <c r="E238" s="10" t="s">
        <v>155</v>
      </c>
      <c r="F238" s="10" t="s">
        <v>156</v>
      </c>
      <c r="G238" s="10" t="s">
        <v>527</v>
      </c>
      <c r="H238" s="10" t="s">
        <v>25</v>
      </c>
      <c r="I238" s="10" t="s">
        <v>1337</v>
      </c>
    </row>
    <row r="239" customFormat="false" ht="25.5" hidden="false" customHeight="true" outlineLevel="0" collapsed="false">
      <c r="A239" s="9" t="s">
        <v>1338</v>
      </c>
      <c r="B239" s="9" t="s">
        <v>49</v>
      </c>
      <c r="C239" s="9" t="s">
        <v>48</v>
      </c>
      <c r="D239" s="9" t="n">
        <v>2023</v>
      </c>
      <c r="E239" s="9" t="s">
        <v>50</v>
      </c>
      <c r="F239" s="9" t="s">
        <v>51</v>
      </c>
      <c r="G239" s="9" t="s">
        <v>507</v>
      </c>
      <c r="H239" s="9" t="s">
        <v>25</v>
      </c>
      <c r="I239" s="9" t="s">
        <v>1339</v>
      </c>
    </row>
    <row r="240" customFormat="false" ht="25.5" hidden="false" customHeight="true" outlineLevel="0" collapsed="false">
      <c r="A240" s="10" t="s">
        <v>1338</v>
      </c>
      <c r="B240" s="10" t="s">
        <v>49</v>
      </c>
      <c r="C240" s="10" t="s">
        <v>48</v>
      </c>
      <c r="D240" s="10" t="n">
        <v>2023</v>
      </c>
      <c r="E240" s="10" t="s">
        <v>50</v>
      </c>
      <c r="F240" s="10" t="s">
        <v>51</v>
      </c>
      <c r="G240" s="10" t="s">
        <v>527</v>
      </c>
      <c r="H240" s="10" t="s">
        <v>25</v>
      </c>
      <c r="I240" s="10" t="s">
        <v>1339</v>
      </c>
    </row>
    <row r="241" customFormat="false" ht="25.5" hidden="false" customHeight="true" outlineLevel="0" collapsed="false">
      <c r="A241" s="9" t="s">
        <v>1340</v>
      </c>
      <c r="B241" s="9" t="s">
        <v>1341</v>
      </c>
      <c r="C241" s="9" t="s">
        <v>1342</v>
      </c>
      <c r="D241" s="9" t="n">
        <v>2023</v>
      </c>
      <c r="E241" s="9" t="s">
        <v>1343</v>
      </c>
      <c r="F241" s="9" t="s">
        <v>1344</v>
      </c>
      <c r="G241" s="9" t="s">
        <v>507</v>
      </c>
      <c r="H241" s="9" t="s">
        <v>335</v>
      </c>
      <c r="I241" s="9" t="s">
        <v>1345</v>
      </c>
    </row>
    <row r="242" customFormat="false" ht="25.5" hidden="false" customHeight="true" outlineLevel="0" collapsed="false">
      <c r="A242" s="10" t="s">
        <v>1340</v>
      </c>
      <c r="B242" s="10" t="s">
        <v>1341</v>
      </c>
      <c r="C242" s="10" t="s">
        <v>1342</v>
      </c>
      <c r="D242" s="10" t="n">
        <v>2023</v>
      </c>
      <c r="E242" s="10" t="s">
        <v>1343</v>
      </c>
      <c r="F242" s="10" t="s">
        <v>1344</v>
      </c>
      <c r="G242" s="10" t="s">
        <v>527</v>
      </c>
      <c r="H242" s="10" t="s">
        <v>335</v>
      </c>
      <c r="I242" s="10" t="s">
        <v>1345</v>
      </c>
    </row>
    <row r="243" customFormat="false" ht="64.5" hidden="false" customHeight="true" outlineLevel="0" collapsed="false">
      <c r="A243" s="9" t="s">
        <v>1346</v>
      </c>
      <c r="B243" s="9" t="s">
        <v>1347</v>
      </c>
      <c r="C243" s="9" t="s">
        <v>1348</v>
      </c>
      <c r="D243" s="9" t="n">
        <v>2023</v>
      </c>
      <c r="E243" s="9" t="s">
        <v>342</v>
      </c>
      <c r="F243" s="9" t="s">
        <v>1349</v>
      </c>
      <c r="G243" s="9" t="s">
        <v>507</v>
      </c>
      <c r="H243" s="9" t="s">
        <v>25</v>
      </c>
      <c r="I243" s="9" t="s">
        <v>1350</v>
      </c>
    </row>
    <row r="244" customFormat="false" ht="64.5" hidden="false" customHeight="true" outlineLevel="0" collapsed="false">
      <c r="A244" s="10" t="s">
        <v>1346</v>
      </c>
      <c r="B244" s="10" t="s">
        <v>1347</v>
      </c>
      <c r="C244" s="10" t="s">
        <v>1348</v>
      </c>
      <c r="D244" s="10" t="n">
        <v>2023</v>
      </c>
      <c r="E244" s="10" t="s">
        <v>342</v>
      </c>
      <c r="F244" s="10" t="s">
        <v>1349</v>
      </c>
      <c r="G244" s="10" t="s">
        <v>527</v>
      </c>
      <c r="H244" s="10" t="s">
        <v>25</v>
      </c>
      <c r="I244" s="10" t="s">
        <v>1350</v>
      </c>
    </row>
    <row r="245" customFormat="false" ht="39" hidden="false" customHeight="true" outlineLevel="0" collapsed="false">
      <c r="A245" s="9" t="s">
        <v>1351</v>
      </c>
      <c r="B245" s="9" t="s">
        <v>1352</v>
      </c>
      <c r="C245" s="9" t="s">
        <v>1353</v>
      </c>
      <c r="D245" s="9" t="n">
        <v>2023</v>
      </c>
      <c r="E245" s="9" t="s">
        <v>1309</v>
      </c>
      <c r="F245" s="9" t="s">
        <v>1354</v>
      </c>
      <c r="G245" s="9" t="s">
        <v>507</v>
      </c>
      <c r="H245" s="9" t="s">
        <v>335</v>
      </c>
      <c r="I245" s="9" t="s">
        <v>1355</v>
      </c>
    </row>
    <row r="246" customFormat="false" ht="39" hidden="false" customHeight="true" outlineLevel="0" collapsed="false">
      <c r="A246" s="10" t="s">
        <v>1356</v>
      </c>
      <c r="B246" s="10" t="s">
        <v>1357</v>
      </c>
      <c r="C246" s="10" t="s">
        <v>1358</v>
      </c>
      <c r="D246" s="10" t="n">
        <v>2023</v>
      </c>
      <c r="E246" s="10" t="s">
        <v>1359</v>
      </c>
      <c r="F246" s="10" t="s">
        <v>1360</v>
      </c>
      <c r="G246" s="10" t="s">
        <v>527</v>
      </c>
      <c r="H246" s="10" t="s">
        <v>25</v>
      </c>
      <c r="I246" s="10" t="s">
        <v>1361</v>
      </c>
    </row>
    <row r="247" customFormat="false" ht="51.75" hidden="false" customHeight="true" outlineLevel="0" collapsed="false">
      <c r="A247" s="9" t="s">
        <v>1362</v>
      </c>
      <c r="B247" s="9" t="s">
        <v>1363</v>
      </c>
      <c r="C247" s="9" t="s">
        <v>1364</v>
      </c>
      <c r="D247" s="9" t="n">
        <v>2023</v>
      </c>
      <c r="E247" s="9" t="s">
        <v>1365</v>
      </c>
      <c r="F247" s="9" t="s">
        <v>1366</v>
      </c>
      <c r="G247" s="9" t="s">
        <v>507</v>
      </c>
      <c r="H247" s="9" t="s">
        <v>25</v>
      </c>
      <c r="I247" s="9" t="s">
        <v>1367</v>
      </c>
    </row>
    <row r="248" customFormat="false" ht="51.75" hidden="false" customHeight="true" outlineLevel="0" collapsed="false">
      <c r="A248" s="10" t="s">
        <v>1362</v>
      </c>
      <c r="B248" s="10" t="s">
        <v>1363</v>
      </c>
      <c r="C248" s="10" t="s">
        <v>1364</v>
      </c>
      <c r="D248" s="10" t="n">
        <v>2023</v>
      </c>
      <c r="E248" s="10" t="s">
        <v>1365</v>
      </c>
      <c r="F248" s="10" t="s">
        <v>1366</v>
      </c>
      <c r="G248" s="10" t="s">
        <v>527</v>
      </c>
      <c r="H248" s="10" t="s">
        <v>25</v>
      </c>
      <c r="I248" s="10" t="s">
        <v>1367</v>
      </c>
    </row>
    <row r="249" customFormat="false" ht="39" hidden="false" customHeight="true" outlineLevel="0" collapsed="false">
      <c r="A249" s="9" t="s">
        <v>1368</v>
      </c>
      <c r="B249" s="9" t="s">
        <v>1369</v>
      </c>
      <c r="C249" s="9" t="s">
        <v>1370</v>
      </c>
      <c r="D249" s="9" t="n">
        <v>2023</v>
      </c>
      <c r="E249" s="9" t="s">
        <v>1371</v>
      </c>
      <c r="F249" s="9" t="s">
        <v>1372</v>
      </c>
      <c r="G249" s="9" t="s">
        <v>507</v>
      </c>
      <c r="H249" s="9" t="s">
        <v>25</v>
      </c>
      <c r="I249" s="9" t="s">
        <v>1373</v>
      </c>
    </row>
    <row r="250" customFormat="false" ht="39" hidden="false" customHeight="true" outlineLevel="0" collapsed="false">
      <c r="A250" s="10" t="s">
        <v>1374</v>
      </c>
      <c r="B250" s="10" t="s">
        <v>302</v>
      </c>
      <c r="C250" s="10" t="s">
        <v>301</v>
      </c>
      <c r="D250" s="10" t="n">
        <v>2023</v>
      </c>
      <c r="E250" s="10" t="s">
        <v>155</v>
      </c>
      <c r="F250" s="10" t="s">
        <v>303</v>
      </c>
      <c r="G250" s="10" t="s">
        <v>507</v>
      </c>
      <c r="H250" s="10" t="s">
        <v>25</v>
      </c>
      <c r="I250" s="10" t="s">
        <v>1375</v>
      </c>
    </row>
    <row r="251" customFormat="false" ht="39" hidden="false" customHeight="true" outlineLevel="0" collapsed="false">
      <c r="A251" s="9" t="s">
        <v>1374</v>
      </c>
      <c r="B251" s="9" t="s">
        <v>302</v>
      </c>
      <c r="C251" s="9" t="s">
        <v>301</v>
      </c>
      <c r="D251" s="9" t="n">
        <v>2023</v>
      </c>
      <c r="E251" s="9" t="s">
        <v>155</v>
      </c>
      <c r="F251" s="9" t="s">
        <v>303</v>
      </c>
      <c r="G251" s="9" t="s">
        <v>527</v>
      </c>
      <c r="H251" s="9" t="s">
        <v>25</v>
      </c>
      <c r="I251" s="9" t="s">
        <v>1375</v>
      </c>
    </row>
    <row r="252" customFormat="false" ht="25.5" hidden="false" customHeight="true" outlineLevel="0" collapsed="false">
      <c r="A252" s="10" t="s">
        <v>1376</v>
      </c>
      <c r="B252" s="10" t="s">
        <v>1377</v>
      </c>
      <c r="C252" s="10" t="s">
        <v>1378</v>
      </c>
      <c r="D252" s="10" t="n">
        <v>2023</v>
      </c>
      <c r="E252" s="10" t="s">
        <v>107</v>
      </c>
      <c r="F252" s="10" t="s">
        <v>1379</v>
      </c>
      <c r="G252" s="10" t="s">
        <v>527</v>
      </c>
      <c r="H252" s="10" t="s">
        <v>25</v>
      </c>
      <c r="I252" s="10" t="s">
        <v>1380</v>
      </c>
    </row>
    <row r="253" customFormat="false" ht="39" hidden="false" customHeight="true" outlineLevel="0" collapsed="false">
      <c r="A253" s="9" t="s">
        <v>1381</v>
      </c>
      <c r="B253" s="9" t="s">
        <v>1382</v>
      </c>
      <c r="C253" s="9" t="s">
        <v>1383</v>
      </c>
      <c r="D253" s="9" t="n">
        <v>2023</v>
      </c>
      <c r="E253" s="9" t="s">
        <v>288</v>
      </c>
      <c r="F253" s="9" t="s">
        <v>1384</v>
      </c>
      <c r="G253" s="9" t="s">
        <v>507</v>
      </c>
      <c r="H253" s="9" t="s">
        <v>25</v>
      </c>
      <c r="I253" s="9" t="s">
        <v>1385</v>
      </c>
    </row>
    <row r="254" customFormat="false" ht="39" hidden="false" customHeight="true" outlineLevel="0" collapsed="false">
      <c r="A254" s="10" t="s">
        <v>1386</v>
      </c>
      <c r="B254" s="10" t="s">
        <v>1387</v>
      </c>
      <c r="C254" s="10" t="s">
        <v>1388</v>
      </c>
      <c r="D254" s="10" t="n">
        <v>2023</v>
      </c>
      <c r="E254" s="10" t="s">
        <v>107</v>
      </c>
      <c r="F254" s="10" t="s">
        <v>1389</v>
      </c>
      <c r="G254" s="10" t="s">
        <v>507</v>
      </c>
      <c r="H254" s="10" t="s">
        <v>25</v>
      </c>
      <c r="I254" s="10" t="s">
        <v>1390</v>
      </c>
    </row>
    <row r="255" customFormat="false" ht="25.5" hidden="false" customHeight="true" outlineLevel="0" collapsed="false">
      <c r="A255" s="9" t="s">
        <v>1391</v>
      </c>
      <c r="B255" s="9" t="s">
        <v>1392</v>
      </c>
      <c r="C255" s="9" t="s">
        <v>1393</v>
      </c>
      <c r="D255" s="9" t="n">
        <v>2023</v>
      </c>
      <c r="E255" s="9" t="s">
        <v>1394</v>
      </c>
      <c r="F255" s="9" t="s">
        <v>1395</v>
      </c>
      <c r="G255" s="9" t="s">
        <v>507</v>
      </c>
      <c r="H255" s="9" t="s">
        <v>25</v>
      </c>
      <c r="I255" s="9" t="s">
        <v>1396</v>
      </c>
    </row>
    <row r="256" customFormat="false" ht="25.5" hidden="false" customHeight="true" outlineLevel="0" collapsed="false">
      <c r="A256" s="10" t="s">
        <v>1391</v>
      </c>
      <c r="B256" s="10" t="s">
        <v>1392</v>
      </c>
      <c r="C256" s="10" t="s">
        <v>1393</v>
      </c>
      <c r="D256" s="10" t="n">
        <v>2023</v>
      </c>
      <c r="E256" s="10" t="s">
        <v>1394</v>
      </c>
      <c r="F256" s="10" t="s">
        <v>1395</v>
      </c>
      <c r="G256" s="10" t="s">
        <v>527</v>
      </c>
      <c r="H256" s="10" t="s">
        <v>25</v>
      </c>
      <c r="I256" s="10" t="s">
        <v>1396</v>
      </c>
    </row>
    <row r="257" customFormat="false" ht="25.5" hidden="false" customHeight="true" outlineLevel="0" collapsed="false">
      <c r="A257" s="9" t="s">
        <v>1397</v>
      </c>
      <c r="B257" s="9" t="s">
        <v>1398</v>
      </c>
      <c r="C257" s="9" t="s">
        <v>1399</v>
      </c>
      <c r="D257" s="9" t="n">
        <v>2023</v>
      </c>
      <c r="E257" s="9" t="s">
        <v>32</v>
      </c>
      <c r="F257" s="9" t="s">
        <v>1400</v>
      </c>
      <c r="G257" s="9" t="s">
        <v>507</v>
      </c>
      <c r="H257" s="9" t="s">
        <v>25</v>
      </c>
      <c r="I257" s="9" t="s">
        <v>1401</v>
      </c>
    </row>
    <row r="258" customFormat="false" ht="25.5" hidden="false" customHeight="true" outlineLevel="0" collapsed="false">
      <c r="A258" s="10" t="s">
        <v>1397</v>
      </c>
      <c r="B258" s="10" t="s">
        <v>1398</v>
      </c>
      <c r="C258" s="10" t="s">
        <v>1399</v>
      </c>
      <c r="D258" s="10" t="n">
        <v>2023</v>
      </c>
      <c r="E258" s="10" t="s">
        <v>32</v>
      </c>
      <c r="F258" s="10" t="s">
        <v>1400</v>
      </c>
      <c r="G258" s="10" t="s">
        <v>527</v>
      </c>
      <c r="H258" s="10" t="s">
        <v>25</v>
      </c>
      <c r="I258" s="10" t="s">
        <v>1401</v>
      </c>
    </row>
    <row r="259" customFormat="false" ht="39" hidden="false" customHeight="true" outlineLevel="0" collapsed="false">
      <c r="A259" s="9" t="s">
        <v>1402</v>
      </c>
      <c r="B259" s="9" t="s">
        <v>1403</v>
      </c>
      <c r="C259" s="9" t="s">
        <v>1404</v>
      </c>
      <c r="D259" s="9" t="n">
        <v>2023</v>
      </c>
      <c r="E259" s="9" t="s">
        <v>1405</v>
      </c>
      <c r="F259" s="9" t="s">
        <v>1406</v>
      </c>
      <c r="G259" s="9" t="s">
        <v>527</v>
      </c>
      <c r="H259" s="9" t="s">
        <v>25</v>
      </c>
      <c r="I259" s="9" t="s">
        <v>1407</v>
      </c>
    </row>
    <row r="260" customFormat="false" ht="39" hidden="false" customHeight="true" outlineLevel="0" collapsed="false">
      <c r="A260" s="10" t="s">
        <v>1408</v>
      </c>
      <c r="B260" s="10" t="s">
        <v>1409</v>
      </c>
      <c r="C260" s="10" t="s">
        <v>1410</v>
      </c>
      <c r="D260" s="10" t="n">
        <v>2023</v>
      </c>
      <c r="E260" s="10" t="s">
        <v>1371</v>
      </c>
      <c r="F260" s="10" t="s">
        <v>1411</v>
      </c>
      <c r="G260" s="10" t="s">
        <v>527</v>
      </c>
      <c r="H260" s="10" t="s">
        <v>335</v>
      </c>
      <c r="I260" s="10" t="s">
        <v>1412</v>
      </c>
    </row>
    <row r="261" customFormat="false" ht="25.5" hidden="false" customHeight="true" outlineLevel="0" collapsed="false">
      <c r="A261" s="9" t="s">
        <v>1413</v>
      </c>
      <c r="B261" s="9" t="s">
        <v>1414</v>
      </c>
      <c r="C261" s="9" t="s">
        <v>1415</v>
      </c>
      <c r="D261" s="9" t="n">
        <v>2023</v>
      </c>
      <c r="E261" s="9" t="s">
        <v>1416</v>
      </c>
      <c r="F261" s="9" t="s">
        <v>1417</v>
      </c>
      <c r="G261" s="9" t="s">
        <v>507</v>
      </c>
      <c r="H261" s="9" t="s">
        <v>335</v>
      </c>
      <c r="I261" s="9" t="s">
        <v>1418</v>
      </c>
    </row>
    <row r="262" customFormat="false" ht="64.5" hidden="false" customHeight="true" outlineLevel="0" collapsed="false">
      <c r="A262" s="10" t="s">
        <v>1419</v>
      </c>
      <c r="B262" s="10" t="s">
        <v>1420</v>
      </c>
      <c r="C262" s="10" t="s">
        <v>1421</v>
      </c>
      <c r="D262" s="10" t="n">
        <v>2022</v>
      </c>
      <c r="E262" s="10" t="s">
        <v>1422</v>
      </c>
      <c r="F262" s="10" t="s">
        <v>1423</v>
      </c>
      <c r="G262" s="10" t="s">
        <v>527</v>
      </c>
      <c r="H262" s="10" t="s">
        <v>25</v>
      </c>
      <c r="I262" s="10" t="s">
        <v>1424</v>
      </c>
    </row>
    <row r="263" customFormat="false" ht="78" hidden="false" customHeight="true" outlineLevel="0" collapsed="false">
      <c r="A263" s="9" t="s">
        <v>1425</v>
      </c>
      <c r="B263" s="9" t="s">
        <v>1426</v>
      </c>
      <c r="C263" s="9" t="s">
        <v>1427</v>
      </c>
      <c r="D263" s="9" t="n">
        <v>2022</v>
      </c>
      <c r="E263" s="9" t="s">
        <v>1428</v>
      </c>
      <c r="F263" s="9" t="s">
        <v>1429</v>
      </c>
      <c r="G263" s="9" t="s">
        <v>527</v>
      </c>
      <c r="H263" s="9" t="s">
        <v>25</v>
      </c>
      <c r="I263" s="9" t="s">
        <v>1430</v>
      </c>
    </row>
    <row r="264" customFormat="false" ht="39" hidden="false" customHeight="true" outlineLevel="0" collapsed="false">
      <c r="A264" s="10" t="s">
        <v>1431</v>
      </c>
      <c r="B264" s="10" t="s">
        <v>1432</v>
      </c>
      <c r="C264" s="10" t="s">
        <v>1433</v>
      </c>
      <c r="D264" s="10" t="n">
        <v>2022</v>
      </c>
      <c r="E264" s="10" t="s">
        <v>717</v>
      </c>
      <c r="F264" s="10" t="s">
        <v>1434</v>
      </c>
      <c r="G264" s="10" t="s">
        <v>507</v>
      </c>
      <c r="H264" s="10" t="s">
        <v>335</v>
      </c>
      <c r="I264" s="10" t="s">
        <v>1435</v>
      </c>
    </row>
    <row r="265" customFormat="false" ht="39" hidden="false" customHeight="true" outlineLevel="0" collapsed="false">
      <c r="A265" s="9" t="s">
        <v>1436</v>
      </c>
      <c r="B265" s="9" t="s">
        <v>1437</v>
      </c>
      <c r="C265" s="9" t="s">
        <v>1438</v>
      </c>
      <c r="D265" s="9" t="n">
        <v>2022</v>
      </c>
      <c r="E265" s="9" t="s">
        <v>1439</v>
      </c>
      <c r="F265" s="9" t="s">
        <v>1440</v>
      </c>
      <c r="G265" s="9" t="s">
        <v>507</v>
      </c>
      <c r="H265" s="9" t="s">
        <v>25</v>
      </c>
      <c r="I265" s="9" t="s">
        <v>1441</v>
      </c>
    </row>
    <row r="266" customFormat="false" ht="39" hidden="false" customHeight="true" outlineLevel="0" collapsed="false">
      <c r="A266" s="10" t="s">
        <v>1442</v>
      </c>
      <c r="B266" s="10" t="s">
        <v>1443</v>
      </c>
      <c r="C266" s="10" t="s">
        <v>1444</v>
      </c>
      <c r="D266" s="10" t="n">
        <v>2022</v>
      </c>
      <c r="E266" s="10" t="s">
        <v>1445</v>
      </c>
      <c r="F266" s="10" t="s">
        <v>1446</v>
      </c>
      <c r="G266" s="10" t="s">
        <v>507</v>
      </c>
      <c r="H266" s="10" t="s">
        <v>25</v>
      </c>
      <c r="I266" s="10" t="s">
        <v>1447</v>
      </c>
    </row>
    <row r="267" customFormat="false" ht="25.5" hidden="false" customHeight="true" outlineLevel="0" collapsed="false">
      <c r="A267" s="9" t="s">
        <v>1448</v>
      </c>
      <c r="B267" s="9" t="s">
        <v>198</v>
      </c>
      <c r="C267" s="9" t="s">
        <v>197</v>
      </c>
      <c r="D267" s="9" t="n">
        <v>2022</v>
      </c>
      <c r="E267" s="9" t="s">
        <v>32</v>
      </c>
      <c r="F267" s="9" t="s">
        <v>199</v>
      </c>
      <c r="G267" s="9" t="s">
        <v>527</v>
      </c>
      <c r="H267" s="9" t="s">
        <v>25</v>
      </c>
      <c r="I267" s="9" t="s">
        <v>1449</v>
      </c>
    </row>
    <row r="268" customFormat="false" ht="39" hidden="false" customHeight="true" outlineLevel="0" collapsed="false">
      <c r="A268" s="10" t="s">
        <v>1450</v>
      </c>
      <c r="B268" s="10" t="s">
        <v>1451</v>
      </c>
      <c r="C268" s="10" t="s">
        <v>1452</v>
      </c>
      <c r="D268" s="10" t="n">
        <v>2022</v>
      </c>
      <c r="E268" s="10" t="s">
        <v>1018</v>
      </c>
      <c r="F268" s="10" t="s">
        <v>1453</v>
      </c>
      <c r="G268" s="10" t="s">
        <v>507</v>
      </c>
      <c r="H268" s="10" t="s">
        <v>335</v>
      </c>
      <c r="I268" s="10" t="s">
        <v>1454</v>
      </c>
    </row>
    <row r="269" customFormat="false" ht="39" hidden="false" customHeight="true" outlineLevel="0" collapsed="false">
      <c r="A269" s="9" t="s">
        <v>1455</v>
      </c>
      <c r="B269" s="9" t="s">
        <v>1456</v>
      </c>
      <c r="C269" s="9" t="s">
        <v>1457</v>
      </c>
      <c r="D269" s="9" t="n">
        <v>2022</v>
      </c>
      <c r="E269" s="9" t="s">
        <v>958</v>
      </c>
      <c r="F269" s="9" t="s">
        <v>1458</v>
      </c>
      <c r="G269" s="9" t="s">
        <v>527</v>
      </c>
      <c r="H269" s="9" t="s">
        <v>25</v>
      </c>
      <c r="I269" s="9" t="s">
        <v>1459</v>
      </c>
    </row>
    <row r="270" customFormat="false" ht="51.75" hidden="false" customHeight="true" outlineLevel="0" collapsed="false">
      <c r="A270" s="10" t="s">
        <v>1460</v>
      </c>
      <c r="B270" s="10" t="s">
        <v>1461</v>
      </c>
      <c r="C270" s="10" t="s">
        <v>1462</v>
      </c>
      <c r="D270" s="10" t="n">
        <v>2022</v>
      </c>
      <c r="E270" s="10" t="s">
        <v>300</v>
      </c>
      <c r="F270" s="10" t="s">
        <v>1463</v>
      </c>
      <c r="G270" s="10" t="s">
        <v>527</v>
      </c>
      <c r="H270" s="10" t="s">
        <v>25</v>
      </c>
      <c r="I270" s="10" t="s">
        <v>1464</v>
      </c>
    </row>
    <row r="271" customFormat="false" ht="25.5" hidden="false" customHeight="true" outlineLevel="0" collapsed="false">
      <c r="A271" s="9" t="s">
        <v>1465</v>
      </c>
      <c r="B271" s="9" t="s">
        <v>1466</v>
      </c>
      <c r="C271" s="9" t="s">
        <v>1467</v>
      </c>
      <c r="D271" s="9" t="n">
        <v>2022</v>
      </c>
      <c r="E271" s="9" t="s">
        <v>32</v>
      </c>
      <c r="F271" s="9" t="s">
        <v>1468</v>
      </c>
      <c r="G271" s="9" t="s">
        <v>507</v>
      </c>
      <c r="H271" s="9" t="s">
        <v>25</v>
      </c>
      <c r="I271" s="9" t="s">
        <v>1469</v>
      </c>
    </row>
    <row r="272" customFormat="false" ht="51.75" hidden="false" customHeight="true" outlineLevel="0" collapsed="false">
      <c r="A272" s="10" t="s">
        <v>1470</v>
      </c>
      <c r="B272" s="10" t="s">
        <v>144</v>
      </c>
      <c r="C272" s="10" t="s">
        <v>143</v>
      </c>
      <c r="D272" s="10" t="n">
        <v>2022</v>
      </c>
      <c r="E272" s="10" t="s">
        <v>145</v>
      </c>
      <c r="F272" s="10" t="s">
        <v>146</v>
      </c>
      <c r="G272" s="10" t="s">
        <v>527</v>
      </c>
      <c r="H272" s="10" t="s">
        <v>25</v>
      </c>
      <c r="I272" s="10" t="s">
        <v>1471</v>
      </c>
    </row>
    <row r="273" customFormat="false" ht="39" hidden="false" customHeight="true" outlineLevel="0" collapsed="false">
      <c r="A273" s="9" t="s">
        <v>1472</v>
      </c>
      <c r="B273" s="9" t="s">
        <v>1473</v>
      </c>
      <c r="C273" s="9" t="s">
        <v>1474</v>
      </c>
      <c r="D273" s="9" t="n">
        <v>2022</v>
      </c>
      <c r="E273" s="9" t="s">
        <v>1475</v>
      </c>
      <c r="F273" s="9" t="s">
        <v>1476</v>
      </c>
      <c r="G273" s="9" t="s">
        <v>507</v>
      </c>
      <c r="H273" s="9" t="s">
        <v>25</v>
      </c>
      <c r="I273" s="9" t="s">
        <v>1477</v>
      </c>
    </row>
    <row r="274" customFormat="false" ht="39" hidden="false" customHeight="true" outlineLevel="0" collapsed="false">
      <c r="A274" s="10" t="s">
        <v>1472</v>
      </c>
      <c r="B274" s="10" t="s">
        <v>1473</v>
      </c>
      <c r="C274" s="10" t="s">
        <v>1474</v>
      </c>
      <c r="D274" s="10" t="n">
        <v>2022</v>
      </c>
      <c r="E274" s="10" t="s">
        <v>1475</v>
      </c>
      <c r="F274" s="10" t="s">
        <v>1476</v>
      </c>
      <c r="G274" s="10" t="s">
        <v>527</v>
      </c>
      <c r="H274" s="10" t="s">
        <v>25</v>
      </c>
      <c r="I274" s="10" t="s">
        <v>1477</v>
      </c>
    </row>
    <row r="275" customFormat="false" ht="78" hidden="false" customHeight="true" outlineLevel="0" collapsed="false">
      <c r="A275" s="9" t="s">
        <v>1478</v>
      </c>
      <c r="B275" s="9" t="s">
        <v>1479</v>
      </c>
      <c r="C275" s="9" t="s">
        <v>1480</v>
      </c>
      <c r="D275" s="9" t="n">
        <v>2022</v>
      </c>
      <c r="E275" s="9" t="s">
        <v>1481</v>
      </c>
      <c r="F275" s="9" t="s">
        <v>1482</v>
      </c>
      <c r="G275" s="9" t="s">
        <v>527</v>
      </c>
      <c r="H275" s="9" t="s">
        <v>25</v>
      </c>
      <c r="I275" s="9" t="s">
        <v>1483</v>
      </c>
    </row>
    <row r="276" customFormat="false" ht="51.75" hidden="false" customHeight="true" outlineLevel="0" collapsed="false">
      <c r="A276" s="10" t="s">
        <v>1484</v>
      </c>
      <c r="B276" s="10" t="s">
        <v>227</v>
      </c>
      <c r="C276" s="10" t="s">
        <v>226</v>
      </c>
      <c r="D276" s="10" t="n">
        <v>2022</v>
      </c>
      <c r="E276" s="10" t="s">
        <v>81</v>
      </c>
      <c r="F276" s="10" t="s">
        <v>228</v>
      </c>
      <c r="G276" s="10" t="s">
        <v>507</v>
      </c>
      <c r="H276" s="10" t="s">
        <v>25</v>
      </c>
      <c r="I276" s="10" t="s">
        <v>1485</v>
      </c>
    </row>
    <row r="277" customFormat="false" ht="51.75" hidden="false" customHeight="true" outlineLevel="0" collapsed="false">
      <c r="A277" s="9" t="s">
        <v>1484</v>
      </c>
      <c r="B277" s="9" t="s">
        <v>227</v>
      </c>
      <c r="C277" s="9" t="s">
        <v>226</v>
      </c>
      <c r="D277" s="9" t="n">
        <v>2022</v>
      </c>
      <c r="E277" s="9" t="s">
        <v>81</v>
      </c>
      <c r="F277" s="9" t="s">
        <v>228</v>
      </c>
      <c r="G277" s="9" t="s">
        <v>527</v>
      </c>
      <c r="H277" s="9" t="s">
        <v>25</v>
      </c>
      <c r="I277" s="9" t="s">
        <v>1485</v>
      </c>
    </row>
    <row r="278" customFormat="false" ht="51.75" hidden="false" customHeight="true" outlineLevel="0" collapsed="false">
      <c r="A278" s="10" t="s">
        <v>1486</v>
      </c>
      <c r="B278" s="10" t="s">
        <v>180</v>
      </c>
      <c r="C278" s="10" t="s">
        <v>179</v>
      </c>
      <c r="D278" s="10" t="n">
        <v>2022</v>
      </c>
      <c r="E278" s="10" t="s">
        <v>166</v>
      </c>
      <c r="F278" s="10" t="s">
        <v>181</v>
      </c>
      <c r="G278" s="10" t="s">
        <v>527</v>
      </c>
      <c r="H278" s="10" t="s">
        <v>25</v>
      </c>
      <c r="I278" s="10" t="s">
        <v>1487</v>
      </c>
    </row>
    <row r="279" customFormat="false" ht="39" hidden="false" customHeight="true" outlineLevel="0" collapsed="false">
      <c r="A279" s="9" t="s">
        <v>1488</v>
      </c>
      <c r="B279" s="9" t="s">
        <v>1489</v>
      </c>
      <c r="C279" s="9" t="s">
        <v>1490</v>
      </c>
      <c r="D279" s="9" t="n">
        <v>2022</v>
      </c>
      <c r="E279" s="9" t="s">
        <v>598</v>
      </c>
      <c r="F279" s="9" t="s">
        <v>1491</v>
      </c>
      <c r="G279" s="9" t="s">
        <v>507</v>
      </c>
      <c r="H279" s="9" t="s">
        <v>25</v>
      </c>
      <c r="I279" s="9" t="s">
        <v>1492</v>
      </c>
    </row>
    <row r="280" customFormat="false" ht="25.5" hidden="false" customHeight="true" outlineLevel="0" collapsed="false">
      <c r="A280" s="10" t="s">
        <v>1493</v>
      </c>
      <c r="B280" s="10" t="s">
        <v>148</v>
      </c>
      <c r="C280" s="10" t="s">
        <v>147</v>
      </c>
      <c r="D280" s="10" t="n">
        <v>2022</v>
      </c>
      <c r="E280" s="10" t="s">
        <v>32</v>
      </c>
      <c r="F280" s="10" t="s">
        <v>149</v>
      </c>
      <c r="G280" s="10" t="s">
        <v>527</v>
      </c>
      <c r="H280" s="10" t="s">
        <v>25</v>
      </c>
      <c r="I280" s="10" t="s">
        <v>1494</v>
      </c>
    </row>
    <row r="281" customFormat="false" ht="51.75" hidden="false" customHeight="true" outlineLevel="0" collapsed="false">
      <c r="A281" s="9" t="s">
        <v>1495</v>
      </c>
      <c r="B281" s="9" t="s">
        <v>1496</v>
      </c>
      <c r="C281" s="9" t="s">
        <v>1497</v>
      </c>
      <c r="D281" s="9" t="n">
        <v>2022</v>
      </c>
      <c r="E281" s="9" t="s">
        <v>1422</v>
      </c>
      <c r="F281" s="9" t="s">
        <v>1498</v>
      </c>
      <c r="G281" s="9" t="s">
        <v>527</v>
      </c>
      <c r="H281" s="9" t="s">
        <v>25</v>
      </c>
      <c r="I281" s="9" t="s">
        <v>1499</v>
      </c>
    </row>
    <row r="282" customFormat="false" ht="51.75" hidden="false" customHeight="true" outlineLevel="0" collapsed="false">
      <c r="A282" s="10" t="s">
        <v>1500</v>
      </c>
      <c r="B282" s="10" t="s">
        <v>1501</v>
      </c>
      <c r="C282" s="10" t="s">
        <v>1502</v>
      </c>
      <c r="D282" s="10" t="n">
        <v>2022</v>
      </c>
      <c r="E282" s="10" t="s">
        <v>1422</v>
      </c>
      <c r="F282" s="10" t="s">
        <v>1503</v>
      </c>
      <c r="G282" s="10" t="s">
        <v>507</v>
      </c>
      <c r="H282" s="10" t="s">
        <v>25</v>
      </c>
      <c r="I282" s="10" t="s">
        <v>1504</v>
      </c>
    </row>
    <row r="283" customFormat="false" ht="51.75" hidden="false" customHeight="true" outlineLevel="0" collapsed="false">
      <c r="A283" s="9" t="s">
        <v>1500</v>
      </c>
      <c r="B283" s="9" t="s">
        <v>1501</v>
      </c>
      <c r="C283" s="9" t="s">
        <v>1502</v>
      </c>
      <c r="D283" s="9" t="n">
        <v>2022</v>
      </c>
      <c r="E283" s="9" t="s">
        <v>1422</v>
      </c>
      <c r="F283" s="9" t="s">
        <v>1503</v>
      </c>
      <c r="G283" s="9" t="s">
        <v>527</v>
      </c>
      <c r="H283" s="9" t="s">
        <v>25</v>
      </c>
      <c r="I283" s="9" t="s">
        <v>1504</v>
      </c>
    </row>
    <row r="284" customFormat="false" ht="25.5" hidden="false" customHeight="true" outlineLevel="0" collapsed="false">
      <c r="A284" s="10" t="s">
        <v>1505</v>
      </c>
      <c r="B284" s="10" t="s">
        <v>1506</v>
      </c>
      <c r="C284" s="10" t="s">
        <v>1507</v>
      </c>
      <c r="D284" s="10" t="n">
        <v>2022</v>
      </c>
      <c r="E284" s="10" t="s">
        <v>81</v>
      </c>
      <c r="F284" s="10" t="s">
        <v>1508</v>
      </c>
      <c r="G284" s="10" t="s">
        <v>507</v>
      </c>
      <c r="H284" s="10" t="s">
        <v>25</v>
      </c>
      <c r="I284" s="10" t="s">
        <v>1509</v>
      </c>
    </row>
    <row r="285" customFormat="false" ht="51.75" hidden="false" customHeight="true" outlineLevel="0" collapsed="false">
      <c r="A285" s="9" t="s">
        <v>1510</v>
      </c>
      <c r="B285" s="9" t="s">
        <v>1511</v>
      </c>
      <c r="C285" s="9" t="s">
        <v>1512</v>
      </c>
      <c r="D285" s="9" t="n">
        <v>2022</v>
      </c>
      <c r="E285" s="9" t="s">
        <v>1513</v>
      </c>
      <c r="F285" s="9" t="s">
        <v>1514</v>
      </c>
      <c r="G285" s="9" t="s">
        <v>527</v>
      </c>
      <c r="H285" s="9" t="s">
        <v>25</v>
      </c>
      <c r="I285" s="9" t="s">
        <v>1515</v>
      </c>
    </row>
    <row r="286" customFormat="false" ht="78" hidden="false" customHeight="true" outlineLevel="0" collapsed="false">
      <c r="A286" s="10" t="s">
        <v>1516</v>
      </c>
      <c r="B286" s="10" t="s">
        <v>1517</v>
      </c>
      <c r="C286" s="10" t="s">
        <v>1518</v>
      </c>
      <c r="D286" s="10" t="n">
        <v>2022</v>
      </c>
      <c r="E286" s="10" t="s">
        <v>1422</v>
      </c>
      <c r="F286" s="10" t="s">
        <v>1519</v>
      </c>
      <c r="G286" s="10" t="s">
        <v>507</v>
      </c>
      <c r="H286" s="10" t="s">
        <v>25</v>
      </c>
      <c r="I286" s="10" t="s">
        <v>1520</v>
      </c>
    </row>
    <row r="287" customFormat="false" ht="78" hidden="false" customHeight="true" outlineLevel="0" collapsed="false">
      <c r="A287" s="9" t="s">
        <v>1516</v>
      </c>
      <c r="B287" s="9" t="s">
        <v>1517</v>
      </c>
      <c r="C287" s="9" t="s">
        <v>1518</v>
      </c>
      <c r="D287" s="9" t="n">
        <v>2022</v>
      </c>
      <c r="E287" s="9" t="s">
        <v>1422</v>
      </c>
      <c r="F287" s="9" t="s">
        <v>1519</v>
      </c>
      <c r="G287" s="9" t="s">
        <v>527</v>
      </c>
      <c r="H287" s="9" t="s">
        <v>25</v>
      </c>
      <c r="I287" s="9" t="s">
        <v>1520</v>
      </c>
    </row>
    <row r="288" customFormat="false" ht="39" hidden="false" customHeight="true" outlineLevel="0" collapsed="false">
      <c r="A288" s="10" t="s">
        <v>1521</v>
      </c>
      <c r="B288" s="10" t="s">
        <v>1522</v>
      </c>
      <c r="C288" s="10" t="s">
        <v>1523</v>
      </c>
      <c r="D288" s="10" t="n">
        <v>2022</v>
      </c>
      <c r="E288" s="10" t="s">
        <v>1524</v>
      </c>
      <c r="F288" s="10"/>
      <c r="G288" s="10" t="s">
        <v>527</v>
      </c>
      <c r="H288" s="10" t="s">
        <v>25</v>
      </c>
      <c r="I288" s="10" t="s">
        <v>1525</v>
      </c>
    </row>
    <row r="289" customFormat="false" ht="39" hidden="false" customHeight="true" outlineLevel="0" collapsed="false">
      <c r="A289" s="9" t="s">
        <v>1526</v>
      </c>
      <c r="B289" s="9" t="s">
        <v>1527</v>
      </c>
      <c r="C289" s="9" t="s">
        <v>1528</v>
      </c>
      <c r="D289" s="9" t="n">
        <v>2022</v>
      </c>
      <c r="E289" s="9" t="s">
        <v>32</v>
      </c>
      <c r="F289" s="9" t="s">
        <v>1529</v>
      </c>
      <c r="G289" s="9" t="s">
        <v>507</v>
      </c>
      <c r="H289" s="9" t="s">
        <v>25</v>
      </c>
      <c r="I289" s="9" t="s">
        <v>1530</v>
      </c>
    </row>
    <row r="290" customFormat="false" ht="39" hidden="false" customHeight="true" outlineLevel="0" collapsed="false">
      <c r="A290" s="10" t="s">
        <v>1526</v>
      </c>
      <c r="B290" s="10" t="s">
        <v>1527</v>
      </c>
      <c r="C290" s="10" t="s">
        <v>1528</v>
      </c>
      <c r="D290" s="10" t="n">
        <v>2022</v>
      </c>
      <c r="E290" s="10" t="s">
        <v>32</v>
      </c>
      <c r="F290" s="10" t="s">
        <v>1529</v>
      </c>
      <c r="G290" s="10" t="s">
        <v>527</v>
      </c>
      <c r="H290" s="10" t="s">
        <v>25</v>
      </c>
      <c r="I290" s="10" t="s">
        <v>1530</v>
      </c>
    </row>
    <row r="291" customFormat="false" ht="39" hidden="false" customHeight="true" outlineLevel="0" collapsed="false">
      <c r="A291" s="9" t="s">
        <v>1531</v>
      </c>
      <c r="B291" s="9" t="s">
        <v>1532</v>
      </c>
      <c r="C291" s="9" t="s">
        <v>1533</v>
      </c>
      <c r="D291" s="9" t="n">
        <v>2022</v>
      </c>
      <c r="E291" s="9" t="s">
        <v>743</v>
      </c>
      <c r="F291" s="9" t="s">
        <v>1534</v>
      </c>
      <c r="G291" s="9" t="s">
        <v>507</v>
      </c>
      <c r="H291" s="9" t="s">
        <v>335</v>
      </c>
      <c r="I291" s="9" t="s">
        <v>1535</v>
      </c>
    </row>
    <row r="292" customFormat="false" ht="51.75" hidden="false" customHeight="true" outlineLevel="0" collapsed="false">
      <c r="A292" s="10" t="s">
        <v>1536</v>
      </c>
      <c r="B292" s="10" t="s">
        <v>1537</v>
      </c>
      <c r="C292" s="10" t="s">
        <v>1538</v>
      </c>
      <c r="D292" s="10" t="n">
        <v>2022</v>
      </c>
      <c r="E292" s="10" t="s">
        <v>1422</v>
      </c>
      <c r="F292" s="10" t="s">
        <v>1539</v>
      </c>
      <c r="G292" s="10" t="s">
        <v>507</v>
      </c>
      <c r="H292" s="10" t="s">
        <v>25</v>
      </c>
      <c r="I292" s="10" t="s">
        <v>1540</v>
      </c>
    </row>
    <row r="293" customFormat="false" ht="51.75" hidden="false" customHeight="true" outlineLevel="0" collapsed="false">
      <c r="A293" s="9" t="s">
        <v>1536</v>
      </c>
      <c r="B293" s="9" t="s">
        <v>1537</v>
      </c>
      <c r="C293" s="9" t="s">
        <v>1538</v>
      </c>
      <c r="D293" s="9" t="n">
        <v>2022</v>
      </c>
      <c r="E293" s="9" t="s">
        <v>1422</v>
      </c>
      <c r="F293" s="9" t="s">
        <v>1539</v>
      </c>
      <c r="G293" s="9" t="s">
        <v>527</v>
      </c>
      <c r="H293" s="9" t="s">
        <v>25</v>
      </c>
      <c r="I293" s="9" t="s">
        <v>1540</v>
      </c>
    </row>
    <row r="294" customFormat="false" ht="25.5" hidden="false" customHeight="true" outlineLevel="0" collapsed="false">
      <c r="A294" s="10" t="s">
        <v>1541</v>
      </c>
      <c r="B294" s="10" t="s">
        <v>1542</v>
      </c>
      <c r="C294" s="10" t="s">
        <v>1543</v>
      </c>
      <c r="D294" s="10" t="n">
        <v>2022</v>
      </c>
      <c r="E294" s="10" t="s">
        <v>32</v>
      </c>
      <c r="F294" s="10" t="s">
        <v>1544</v>
      </c>
      <c r="G294" s="10" t="s">
        <v>527</v>
      </c>
      <c r="H294" s="10" t="s">
        <v>25</v>
      </c>
      <c r="I294" s="10" t="s">
        <v>1545</v>
      </c>
    </row>
    <row r="295" customFormat="false" ht="39" hidden="false" customHeight="true" outlineLevel="0" collapsed="false">
      <c r="A295" s="9" t="s">
        <v>1546</v>
      </c>
      <c r="B295" s="9" t="s">
        <v>1547</v>
      </c>
      <c r="C295" s="9" t="s">
        <v>1548</v>
      </c>
      <c r="D295" s="9" t="n">
        <v>2022</v>
      </c>
      <c r="E295" s="9" t="s">
        <v>166</v>
      </c>
      <c r="F295" s="9" t="s">
        <v>1549</v>
      </c>
      <c r="G295" s="9" t="s">
        <v>527</v>
      </c>
      <c r="H295" s="9" t="s">
        <v>25</v>
      </c>
      <c r="I295" s="9" t="s">
        <v>1550</v>
      </c>
    </row>
    <row r="296" customFormat="false" ht="51.75" hidden="false" customHeight="true" outlineLevel="0" collapsed="false">
      <c r="A296" s="10" t="s">
        <v>1551</v>
      </c>
      <c r="B296" s="10" t="s">
        <v>1552</v>
      </c>
      <c r="C296" s="10" t="s">
        <v>1553</v>
      </c>
      <c r="D296" s="10" t="n">
        <v>2022</v>
      </c>
      <c r="E296" s="10" t="s">
        <v>130</v>
      </c>
      <c r="F296" s="10" t="s">
        <v>1554</v>
      </c>
      <c r="G296" s="10" t="s">
        <v>507</v>
      </c>
      <c r="H296" s="10" t="s">
        <v>335</v>
      </c>
      <c r="I296" s="10" t="s">
        <v>1555</v>
      </c>
    </row>
    <row r="297" customFormat="false" ht="51.75" hidden="false" customHeight="true" outlineLevel="0" collapsed="false">
      <c r="A297" s="9" t="s">
        <v>1556</v>
      </c>
      <c r="B297" s="9" t="s">
        <v>1557</v>
      </c>
      <c r="C297" s="9" t="s">
        <v>1558</v>
      </c>
      <c r="D297" s="9" t="n">
        <v>2022</v>
      </c>
      <c r="E297" s="9" t="s">
        <v>1422</v>
      </c>
      <c r="F297" s="9" t="s">
        <v>1559</v>
      </c>
      <c r="G297" s="9" t="s">
        <v>507</v>
      </c>
      <c r="H297" s="9" t="s">
        <v>25</v>
      </c>
      <c r="I297" s="9" t="s">
        <v>1560</v>
      </c>
    </row>
    <row r="298" customFormat="false" ht="51.75" hidden="false" customHeight="true" outlineLevel="0" collapsed="false">
      <c r="A298" s="10" t="s">
        <v>1556</v>
      </c>
      <c r="B298" s="10" t="s">
        <v>1557</v>
      </c>
      <c r="C298" s="10" t="s">
        <v>1558</v>
      </c>
      <c r="D298" s="10" t="n">
        <v>2022</v>
      </c>
      <c r="E298" s="10" t="s">
        <v>1422</v>
      </c>
      <c r="F298" s="10" t="s">
        <v>1559</v>
      </c>
      <c r="G298" s="10" t="s">
        <v>527</v>
      </c>
      <c r="H298" s="10" t="s">
        <v>25</v>
      </c>
      <c r="I298" s="10" t="s">
        <v>1560</v>
      </c>
    </row>
    <row r="299" customFormat="false" ht="39" hidden="false" customHeight="true" outlineLevel="0" collapsed="false">
      <c r="A299" s="9" t="s">
        <v>1561</v>
      </c>
      <c r="B299" s="9" t="s">
        <v>1562</v>
      </c>
      <c r="C299" s="9" t="s">
        <v>1563</v>
      </c>
      <c r="D299" s="9" t="n">
        <v>2022</v>
      </c>
      <c r="E299" s="9" t="s">
        <v>1564</v>
      </c>
      <c r="F299" s="9" t="s">
        <v>1565</v>
      </c>
      <c r="G299" s="9" t="s">
        <v>507</v>
      </c>
      <c r="H299" s="9" t="s">
        <v>25</v>
      </c>
      <c r="I299" s="9" t="s">
        <v>1566</v>
      </c>
    </row>
    <row r="300" customFormat="false" ht="39" hidden="false" customHeight="true" outlineLevel="0" collapsed="false">
      <c r="A300" s="10" t="s">
        <v>1561</v>
      </c>
      <c r="B300" s="10" t="s">
        <v>1562</v>
      </c>
      <c r="C300" s="10" t="s">
        <v>1563</v>
      </c>
      <c r="D300" s="10" t="n">
        <v>2022</v>
      </c>
      <c r="E300" s="10" t="s">
        <v>1564</v>
      </c>
      <c r="F300" s="10" t="s">
        <v>1565</v>
      </c>
      <c r="G300" s="10" t="s">
        <v>527</v>
      </c>
      <c r="H300" s="10" t="s">
        <v>25</v>
      </c>
      <c r="I300" s="10" t="s">
        <v>1566</v>
      </c>
    </row>
    <row r="301" customFormat="false" ht="39" hidden="false" customHeight="true" outlineLevel="0" collapsed="false">
      <c r="A301" s="9" t="s">
        <v>1567</v>
      </c>
      <c r="B301" s="9" t="s">
        <v>1568</v>
      </c>
      <c r="C301" s="9" t="s">
        <v>1569</v>
      </c>
      <c r="D301" s="9" t="n">
        <v>2022</v>
      </c>
      <c r="E301" s="9" t="s">
        <v>1570</v>
      </c>
      <c r="F301" s="9" t="s">
        <v>1571</v>
      </c>
      <c r="G301" s="9" t="s">
        <v>507</v>
      </c>
      <c r="H301" s="9" t="s">
        <v>25</v>
      </c>
      <c r="I301" s="9" t="s">
        <v>1572</v>
      </c>
    </row>
    <row r="302" customFormat="false" ht="39" hidden="false" customHeight="true" outlineLevel="0" collapsed="false">
      <c r="A302" s="10" t="s">
        <v>1573</v>
      </c>
      <c r="B302" s="10" t="s">
        <v>1574</v>
      </c>
      <c r="C302" s="10" t="s">
        <v>1575</v>
      </c>
      <c r="D302" s="10" t="n">
        <v>2022</v>
      </c>
      <c r="E302" s="10" t="s">
        <v>1018</v>
      </c>
      <c r="F302" s="10" t="s">
        <v>1576</v>
      </c>
      <c r="G302" s="10" t="s">
        <v>507</v>
      </c>
      <c r="H302" s="10" t="s">
        <v>514</v>
      </c>
      <c r="I302" s="10" t="s">
        <v>1577</v>
      </c>
    </row>
    <row r="303" customFormat="false" ht="39" hidden="false" customHeight="true" outlineLevel="0" collapsed="false">
      <c r="A303" s="9" t="s">
        <v>1578</v>
      </c>
      <c r="B303" s="9" t="s">
        <v>371</v>
      </c>
      <c r="C303" s="9" t="s">
        <v>370</v>
      </c>
      <c r="D303" s="9" t="n">
        <v>2022</v>
      </c>
      <c r="E303" s="9" t="s">
        <v>372</v>
      </c>
      <c r="F303" s="9" t="s">
        <v>373</v>
      </c>
      <c r="G303" s="9" t="s">
        <v>527</v>
      </c>
      <c r="H303" s="9" t="s">
        <v>25</v>
      </c>
      <c r="I303" s="9" t="s">
        <v>1579</v>
      </c>
    </row>
    <row r="304" customFormat="false" ht="64.5" hidden="false" customHeight="true" outlineLevel="0" collapsed="false">
      <c r="A304" s="10" t="s">
        <v>1580</v>
      </c>
      <c r="B304" s="10" t="s">
        <v>1581</v>
      </c>
      <c r="C304" s="10" t="s">
        <v>1582</v>
      </c>
      <c r="D304" s="10" t="n">
        <v>2022</v>
      </c>
      <c r="E304" s="10" t="s">
        <v>130</v>
      </c>
      <c r="F304" s="10" t="s">
        <v>1583</v>
      </c>
      <c r="G304" s="10" t="s">
        <v>507</v>
      </c>
      <c r="H304" s="10" t="s">
        <v>25</v>
      </c>
      <c r="I304" s="10" t="s">
        <v>1584</v>
      </c>
    </row>
    <row r="305" customFormat="false" ht="64.5" hidden="false" customHeight="true" outlineLevel="0" collapsed="false">
      <c r="A305" s="9" t="s">
        <v>1580</v>
      </c>
      <c r="B305" s="9" t="s">
        <v>1581</v>
      </c>
      <c r="C305" s="9" t="s">
        <v>1582</v>
      </c>
      <c r="D305" s="9" t="n">
        <v>2022</v>
      </c>
      <c r="E305" s="9" t="s">
        <v>130</v>
      </c>
      <c r="F305" s="9" t="s">
        <v>1583</v>
      </c>
      <c r="G305" s="9" t="s">
        <v>527</v>
      </c>
      <c r="H305" s="9" t="s">
        <v>25</v>
      </c>
      <c r="I305" s="9" t="s">
        <v>1584</v>
      </c>
    </row>
    <row r="306" customFormat="false" ht="51.75" hidden="false" customHeight="true" outlineLevel="0" collapsed="false">
      <c r="A306" s="10" t="s">
        <v>1585</v>
      </c>
      <c r="B306" s="10" t="s">
        <v>230</v>
      </c>
      <c r="C306" s="10" t="s">
        <v>229</v>
      </c>
      <c r="D306" s="10" t="n">
        <v>2022</v>
      </c>
      <c r="E306" s="10" t="s">
        <v>231</v>
      </c>
      <c r="F306" s="10" t="s">
        <v>232</v>
      </c>
      <c r="G306" s="10" t="s">
        <v>507</v>
      </c>
      <c r="H306" s="10" t="s">
        <v>25</v>
      </c>
      <c r="I306" s="10" t="s">
        <v>1586</v>
      </c>
    </row>
    <row r="307" customFormat="false" ht="51.75" hidden="false" customHeight="true" outlineLevel="0" collapsed="false">
      <c r="A307" s="9" t="s">
        <v>1585</v>
      </c>
      <c r="B307" s="9" t="s">
        <v>230</v>
      </c>
      <c r="C307" s="9" t="s">
        <v>229</v>
      </c>
      <c r="D307" s="9" t="n">
        <v>2022</v>
      </c>
      <c r="E307" s="9" t="s">
        <v>231</v>
      </c>
      <c r="F307" s="9" t="s">
        <v>232</v>
      </c>
      <c r="G307" s="9" t="s">
        <v>527</v>
      </c>
      <c r="H307" s="9" t="s">
        <v>25</v>
      </c>
      <c r="I307" s="9" t="s">
        <v>1586</v>
      </c>
    </row>
    <row r="308" customFormat="false" ht="25.5" hidden="false" customHeight="true" outlineLevel="0" collapsed="false">
      <c r="A308" s="10" t="s">
        <v>1587</v>
      </c>
      <c r="B308" s="10" t="s">
        <v>1588</v>
      </c>
      <c r="C308" s="10" t="s">
        <v>1589</v>
      </c>
      <c r="D308" s="10" t="n">
        <v>2022</v>
      </c>
      <c r="E308" s="10" t="s">
        <v>954</v>
      </c>
      <c r="F308" s="10" t="s">
        <v>1590</v>
      </c>
      <c r="G308" s="10" t="s">
        <v>507</v>
      </c>
      <c r="H308" s="10" t="s">
        <v>25</v>
      </c>
      <c r="I308" s="10" t="s">
        <v>1591</v>
      </c>
    </row>
    <row r="309" customFormat="false" ht="39" hidden="false" customHeight="true" outlineLevel="0" collapsed="false">
      <c r="A309" s="9" t="s">
        <v>1592</v>
      </c>
      <c r="B309" s="9" t="s">
        <v>1593</v>
      </c>
      <c r="C309" s="9" t="s">
        <v>1589</v>
      </c>
      <c r="D309" s="9" t="n">
        <v>2022</v>
      </c>
      <c r="E309" s="9" t="s">
        <v>958</v>
      </c>
      <c r="F309" s="9" t="s">
        <v>1590</v>
      </c>
      <c r="G309" s="9" t="s">
        <v>507</v>
      </c>
      <c r="H309" s="9" t="s">
        <v>25</v>
      </c>
      <c r="I309" s="9" t="s">
        <v>1594</v>
      </c>
    </row>
    <row r="310" customFormat="false" ht="25.5" hidden="false" customHeight="true" outlineLevel="0" collapsed="false">
      <c r="A310" s="10" t="s">
        <v>1595</v>
      </c>
      <c r="B310" s="10" t="s">
        <v>1596</v>
      </c>
      <c r="C310" s="10" t="s">
        <v>1597</v>
      </c>
      <c r="D310" s="10" t="n">
        <v>2022</v>
      </c>
      <c r="E310" s="10" t="s">
        <v>1428</v>
      </c>
      <c r="F310" s="10" t="s">
        <v>1598</v>
      </c>
      <c r="G310" s="10" t="s">
        <v>527</v>
      </c>
      <c r="H310" s="10" t="s">
        <v>25</v>
      </c>
      <c r="I310" s="10" t="s">
        <v>1599</v>
      </c>
    </row>
    <row r="311" customFormat="false" ht="51.75" hidden="false" customHeight="true" outlineLevel="0" collapsed="false">
      <c r="A311" s="9" t="s">
        <v>1600</v>
      </c>
      <c r="B311" s="9" t="s">
        <v>1601</v>
      </c>
      <c r="C311" s="9" t="s">
        <v>1602</v>
      </c>
      <c r="D311" s="9" t="n">
        <v>2022</v>
      </c>
      <c r="E311" s="9" t="s">
        <v>1603</v>
      </c>
      <c r="F311" s="9"/>
      <c r="G311" s="9" t="s">
        <v>527</v>
      </c>
      <c r="H311" s="9" t="s">
        <v>335</v>
      </c>
      <c r="I311" s="9" t="s">
        <v>1604</v>
      </c>
    </row>
    <row r="312" customFormat="false" ht="25.5" hidden="false" customHeight="true" outlineLevel="0" collapsed="false">
      <c r="A312" s="10" t="s">
        <v>1605</v>
      </c>
      <c r="B312" s="10" t="s">
        <v>1606</v>
      </c>
      <c r="C312" s="10" t="s">
        <v>1607</v>
      </c>
      <c r="D312" s="10" t="n">
        <v>2022</v>
      </c>
      <c r="E312" s="10" t="s">
        <v>1608</v>
      </c>
      <c r="F312" s="10" t="s">
        <v>1609</v>
      </c>
      <c r="G312" s="10" t="s">
        <v>507</v>
      </c>
      <c r="H312" s="10" t="s">
        <v>25</v>
      </c>
      <c r="I312" s="10" t="s">
        <v>1610</v>
      </c>
    </row>
    <row r="313" customFormat="false" ht="25.5" hidden="false" customHeight="true" outlineLevel="0" collapsed="false">
      <c r="A313" s="9" t="s">
        <v>1605</v>
      </c>
      <c r="B313" s="9" t="s">
        <v>1606</v>
      </c>
      <c r="C313" s="9" t="s">
        <v>1607</v>
      </c>
      <c r="D313" s="9" t="n">
        <v>2022</v>
      </c>
      <c r="E313" s="9" t="s">
        <v>1608</v>
      </c>
      <c r="F313" s="9" t="s">
        <v>1609</v>
      </c>
      <c r="G313" s="9" t="s">
        <v>527</v>
      </c>
      <c r="H313" s="9" t="s">
        <v>25</v>
      </c>
      <c r="I313" s="9" t="s">
        <v>1610</v>
      </c>
    </row>
    <row r="314" customFormat="false" ht="25.5" hidden="false" customHeight="true" outlineLevel="0" collapsed="false">
      <c r="A314" s="10" t="s">
        <v>1611</v>
      </c>
      <c r="B314" s="10" t="s">
        <v>1612</v>
      </c>
      <c r="C314" s="10" t="s">
        <v>1613</v>
      </c>
      <c r="D314" s="10" t="n">
        <v>2022</v>
      </c>
      <c r="E314" s="10" t="s">
        <v>1570</v>
      </c>
      <c r="F314" s="10" t="s">
        <v>1614</v>
      </c>
      <c r="G314" s="10" t="s">
        <v>507</v>
      </c>
      <c r="H314" s="10" t="s">
        <v>514</v>
      </c>
      <c r="I314" s="10" t="s">
        <v>1615</v>
      </c>
    </row>
    <row r="315" customFormat="false" ht="39" hidden="false" customHeight="true" outlineLevel="0" collapsed="false">
      <c r="A315" s="9" t="s">
        <v>1616</v>
      </c>
      <c r="B315" s="9" t="s">
        <v>1617</v>
      </c>
      <c r="C315" s="9" t="s">
        <v>1618</v>
      </c>
      <c r="D315" s="9" t="n">
        <v>2022</v>
      </c>
      <c r="E315" s="9" t="s">
        <v>1475</v>
      </c>
      <c r="F315" s="9" t="s">
        <v>1619</v>
      </c>
      <c r="G315" s="9" t="s">
        <v>507</v>
      </c>
      <c r="H315" s="9" t="s">
        <v>25</v>
      </c>
      <c r="I315" s="9" t="s">
        <v>1620</v>
      </c>
    </row>
    <row r="316" customFormat="false" ht="39" hidden="false" customHeight="true" outlineLevel="0" collapsed="false">
      <c r="A316" s="10" t="s">
        <v>1616</v>
      </c>
      <c r="B316" s="10" t="s">
        <v>1617</v>
      </c>
      <c r="C316" s="10" t="s">
        <v>1618</v>
      </c>
      <c r="D316" s="10" t="n">
        <v>2022</v>
      </c>
      <c r="E316" s="10" t="s">
        <v>1475</v>
      </c>
      <c r="F316" s="10" t="s">
        <v>1619</v>
      </c>
      <c r="G316" s="10" t="s">
        <v>527</v>
      </c>
      <c r="H316" s="10" t="s">
        <v>25</v>
      </c>
      <c r="I316" s="10" t="s">
        <v>1620</v>
      </c>
    </row>
    <row r="317" customFormat="false" ht="39" hidden="false" customHeight="true" outlineLevel="0" collapsed="false">
      <c r="A317" s="9" t="s">
        <v>1621</v>
      </c>
      <c r="B317" s="9" t="s">
        <v>1622</v>
      </c>
      <c r="C317" s="9" t="s">
        <v>1623</v>
      </c>
      <c r="D317" s="9" t="n">
        <v>2022</v>
      </c>
      <c r="E317" s="9" t="s">
        <v>32</v>
      </c>
      <c r="F317" s="9" t="s">
        <v>1624</v>
      </c>
      <c r="G317" s="9" t="s">
        <v>527</v>
      </c>
      <c r="H317" s="9" t="s">
        <v>25</v>
      </c>
      <c r="I317" s="9" t="s">
        <v>1625</v>
      </c>
    </row>
    <row r="318" customFormat="false" ht="39" hidden="false" customHeight="true" outlineLevel="0" collapsed="false">
      <c r="A318" s="10" t="s">
        <v>1626</v>
      </c>
      <c r="B318" s="10" t="s">
        <v>1627</v>
      </c>
      <c r="C318" s="10" t="s">
        <v>1628</v>
      </c>
      <c r="D318" s="10" t="n">
        <v>2022</v>
      </c>
      <c r="E318" s="10" t="s">
        <v>130</v>
      </c>
      <c r="F318" s="10" t="s">
        <v>1629</v>
      </c>
      <c r="G318" s="10" t="s">
        <v>507</v>
      </c>
      <c r="H318" s="10" t="s">
        <v>25</v>
      </c>
      <c r="I318" s="10" t="s">
        <v>1630</v>
      </c>
    </row>
    <row r="319" customFormat="false" ht="39" hidden="false" customHeight="true" outlineLevel="0" collapsed="false">
      <c r="A319" s="9" t="s">
        <v>1626</v>
      </c>
      <c r="B319" s="9" t="s">
        <v>1627</v>
      </c>
      <c r="C319" s="9" t="s">
        <v>1628</v>
      </c>
      <c r="D319" s="9" t="n">
        <v>2022</v>
      </c>
      <c r="E319" s="9" t="s">
        <v>130</v>
      </c>
      <c r="F319" s="9" t="s">
        <v>1629</v>
      </c>
      <c r="G319" s="9" t="s">
        <v>527</v>
      </c>
      <c r="H319" s="9" t="s">
        <v>25</v>
      </c>
      <c r="I319" s="9" t="s">
        <v>1630</v>
      </c>
    </row>
    <row r="320" customFormat="false" ht="51.75" hidden="false" customHeight="true" outlineLevel="0" collapsed="false">
      <c r="A320" s="10" t="s">
        <v>1631</v>
      </c>
      <c r="B320" s="10" t="s">
        <v>1632</v>
      </c>
      <c r="C320" s="10" t="s">
        <v>1633</v>
      </c>
      <c r="D320" s="10" t="n">
        <v>2022</v>
      </c>
      <c r="E320" s="10" t="s">
        <v>1422</v>
      </c>
      <c r="F320" s="10" t="s">
        <v>1634</v>
      </c>
      <c r="G320" s="10" t="s">
        <v>507</v>
      </c>
      <c r="H320" s="10" t="s">
        <v>25</v>
      </c>
      <c r="I320" s="10" t="s">
        <v>1635</v>
      </c>
    </row>
    <row r="321" customFormat="false" ht="51.75" hidden="false" customHeight="true" outlineLevel="0" collapsed="false">
      <c r="A321" s="9" t="s">
        <v>1631</v>
      </c>
      <c r="B321" s="9" t="s">
        <v>1632</v>
      </c>
      <c r="C321" s="9" t="s">
        <v>1633</v>
      </c>
      <c r="D321" s="9" t="n">
        <v>2022</v>
      </c>
      <c r="E321" s="9" t="s">
        <v>1422</v>
      </c>
      <c r="F321" s="9" t="s">
        <v>1634</v>
      </c>
      <c r="G321" s="9" t="s">
        <v>527</v>
      </c>
      <c r="H321" s="9" t="s">
        <v>25</v>
      </c>
      <c r="I321" s="9" t="s">
        <v>1635</v>
      </c>
    </row>
    <row r="322" customFormat="false" ht="64.5" hidden="false" customHeight="true" outlineLevel="0" collapsed="false">
      <c r="A322" s="10" t="s">
        <v>1636</v>
      </c>
      <c r="B322" s="10" t="s">
        <v>1637</v>
      </c>
      <c r="C322" s="10" t="s">
        <v>1638</v>
      </c>
      <c r="D322" s="10" t="n">
        <v>2022</v>
      </c>
      <c r="E322" s="10" t="s">
        <v>1639</v>
      </c>
      <c r="F322" s="10" t="s">
        <v>1640</v>
      </c>
      <c r="G322" s="10" t="s">
        <v>527</v>
      </c>
      <c r="H322" s="10" t="s">
        <v>25</v>
      </c>
      <c r="I322" s="10" t="s">
        <v>1641</v>
      </c>
    </row>
    <row r="323" customFormat="false" ht="51.75" hidden="false" customHeight="true" outlineLevel="0" collapsed="false">
      <c r="A323" s="9" t="s">
        <v>1642</v>
      </c>
      <c r="B323" s="9" t="s">
        <v>1643</v>
      </c>
      <c r="C323" s="9" t="s">
        <v>1644</v>
      </c>
      <c r="D323" s="9" t="n">
        <v>2022</v>
      </c>
      <c r="E323" s="9" t="s">
        <v>1422</v>
      </c>
      <c r="F323" s="9" t="s">
        <v>1645</v>
      </c>
      <c r="G323" s="9" t="s">
        <v>507</v>
      </c>
      <c r="H323" s="9" t="s">
        <v>25</v>
      </c>
      <c r="I323" s="9" t="s">
        <v>1646</v>
      </c>
    </row>
    <row r="324" customFormat="false" ht="51.75" hidden="false" customHeight="true" outlineLevel="0" collapsed="false">
      <c r="A324" s="10" t="s">
        <v>1642</v>
      </c>
      <c r="B324" s="10" t="s">
        <v>1643</v>
      </c>
      <c r="C324" s="10" t="s">
        <v>1644</v>
      </c>
      <c r="D324" s="10" t="n">
        <v>2022</v>
      </c>
      <c r="E324" s="10" t="s">
        <v>1422</v>
      </c>
      <c r="F324" s="10" t="s">
        <v>1645</v>
      </c>
      <c r="G324" s="10" t="s">
        <v>527</v>
      </c>
      <c r="H324" s="10" t="s">
        <v>25</v>
      </c>
      <c r="I324" s="10" t="s">
        <v>1646</v>
      </c>
    </row>
    <row r="325" customFormat="false" ht="39" hidden="false" customHeight="true" outlineLevel="0" collapsed="false">
      <c r="A325" s="9" t="s">
        <v>1647</v>
      </c>
      <c r="B325" s="9" t="s">
        <v>1648</v>
      </c>
      <c r="C325" s="9" t="s">
        <v>1649</v>
      </c>
      <c r="D325" s="9" t="n">
        <v>2022</v>
      </c>
      <c r="E325" s="9" t="s">
        <v>208</v>
      </c>
      <c r="F325" s="9" t="s">
        <v>1650</v>
      </c>
      <c r="G325" s="9" t="s">
        <v>527</v>
      </c>
      <c r="H325" s="9" t="s">
        <v>25</v>
      </c>
      <c r="I325" s="9" t="s">
        <v>1651</v>
      </c>
    </row>
    <row r="326" customFormat="false" ht="51.75" hidden="false" customHeight="true" outlineLevel="0" collapsed="false">
      <c r="A326" s="10" t="s">
        <v>1652</v>
      </c>
      <c r="B326" s="10" t="s">
        <v>1653</v>
      </c>
      <c r="C326" s="10" t="s">
        <v>1654</v>
      </c>
      <c r="D326" s="10" t="n">
        <v>2021</v>
      </c>
      <c r="E326" s="10" t="s">
        <v>107</v>
      </c>
      <c r="F326" s="10" t="s">
        <v>1655</v>
      </c>
      <c r="G326" s="10" t="s">
        <v>507</v>
      </c>
      <c r="H326" s="10" t="s">
        <v>25</v>
      </c>
      <c r="I326" s="10" t="s">
        <v>1656</v>
      </c>
    </row>
    <row r="327" customFormat="false" ht="51.75" hidden="false" customHeight="true" outlineLevel="0" collapsed="false">
      <c r="A327" s="9" t="s">
        <v>1652</v>
      </c>
      <c r="B327" s="9" t="s">
        <v>1653</v>
      </c>
      <c r="C327" s="9" t="s">
        <v>1654</v>
      </c>
      <c r="D327" s="9" t="n">
        <v>2021</v>
      </c>
      <c r="E327" s="9" t="s">
        <v>107</v>
      </c>
      <c r="F327" s="9" t="s">
        <v>1655</v>
      </c>
      <c r="G327" s="9" t="s">
        <v>527</v>
      </c>
      <c r="H327" s="9" t="s">
        <v>25</v>
      </c>
      <c r="I327" s="9" t="s">
        <v>1656</v>
      </c>
    </row>
    <row r="328" customFormat="false" ht="51.75" hidden="false" customHeight="true" outlineLevel="0" collapsed="false">
      <c r="A328" s="10" t="s">
        <v>1657</v>
      </c>
      <c r="B328" s="10" t="s">
        <v>1658</v>
      </c>
      <c r="C328" s="10" t="s">
        <v>1659</v>
      </c>
      <c r="D328" s="10" t="n">
        <v>2021</v>
      </c>
      <c r="E328" s="10" t="s">
        <v>107</v>
      </c>
      <c r="F328" s="10" t="s">
        <v>1660</v>
      </c>
      <c r="G328" s="10" t="s">
        <v>507</v>
      </c>
      <c r="H328" s="10" t="s">
        <v>25</v>
      </c>
      <c r="I328" s="10" t="s">
        <v>1661</v>
      </c>
    </row>
    <row r="329" customFormat="false" ht="51.75" hidden="false" customHeight="true" outlineLevel="0" collapsed="false">
      <c r="A329" s="9" t="s">
        <v>1657</v>
      </c>
      <c r="B329" s="9" t="s">
        <v>1658</v>
      </c>
      <c r="C329" s="9" t="s">
        <v>1659</v>
      </c>
      <c r="D329" s="9" t="n">
        <v>2021</v>
      </c>
      <c r="E329" s="9" t="s">
        <v>107</v>
      </c>
      <c r="F329" s="9" t="s">
        <v>1660</v>
      </c>
      <c r="G329" s="9" t="s">
        <v>527</v>
      </c>
      <c r="H329" s="9" t="s">
        <v>25</v>
      </c>
      <c r="I329" s="9" t="s">
        <v>1661</v>
      </c>
    </row>
    <row r="330" customFormat="false" ht="39" hidden="false" customHeight="true" outlineLevel="0" collapsed="false">
      <c r="A330" s="10" t="s">
        <v>1662</v>
      </c>
      <c r="B330" s="10" t="s">
        <v>1663</v>
      </c>
      <c r="C330" s="10" t="s">
        <v>1664</v>
      </c>
      <c r="D330" s="10" t="n">
        <v>2021</v>
      </c>
      <c r="E330" s="10" t="s">
        <v>580</v>
      </c>
      <c r="F330" s="10" t="s">
        <v>1665</v>
      </c>
      <c r="G330" s="10" t="s">
        <v>507</v>
      </c>
      <c r="H330" s="10" t="s">
        <v>25</v>
      </c>
      <c r="I330" s="10" t="s">
        <v>1666</v>
      </c>
    </row>
    <row r="331" customFormat="false" ht="25.5" hidden="false" customHeight="true" outlineLevel="0" collapsed="false">
      <c r="A331" s="9" t="s">
        <v>1667</v>
      </c>
      <c r="B331" s="9" t="s">
        <v>98</v>
      </c>
      <c r="C331" s="9" t="s">
        <v>97</v>
      </c>
      <c r="D331" s="9" t="n">
        <v>2021</v>
      </c>
      <c r="E331" s="9" t="s">
        <v>99</v>
      </c>
      <c r="F331" s="9" t="s">
        <v>100</v>
      </c>
      <c r="G331" s="9" t="s">
        <v>507</v>
      </c>
      <c r="H331" s="9" t="s">
        <v>25</v>
      </c>
      <c r="I331" s="9" t="s">
        <v>1668</v>
      </c>
    </row>
    <row r="332" customFormat="false" ht="25.5" hidden="false" customHeight="true" outlineLevel="0" collapsed="false">
      <c r="A332" s="10" t="s">
        <v>1667</v>
      </c>
      <c r="B332" s="10" t="s">
        <v>98</v>
      </c>
      <c r="C332" s="10" t="s">
        <v>97</v>
      </c>
      <c r="D332" s="10" t="n">
        <v>2021</v>
      </c>
      <c r="E332" s="10" t="s">
        <v>99</v>
      </c>
      <c r="F332" s="10" t="s">
        <v>100</v>
      </c>
      <c r="G332" s="10" t="s">
        <v>527</v>
      </c>
      <c r="H332" s="10" t="s">
        <v>25</v>
      </c>
      <c r="I332" s="10" t="s">
        <v>1668</v>
      </c>
    </row>
    <row r="333" customFormat="false" ht="90.75" hidden="false" customHeight="true" outlineLevel="0" collapsed="false">
      <c r="A333" s="9" t="s">
        <v>1669</v>
      </c>
      <c r="B333" s="9" t="s">
        <v>1670</v>
      </c>
      <c r="C333" s="9" t="s">
        <v>1671</v>
      </c>
      <c r="D333" s="9" t="n">
        <v>2021</v>
      </c>
      <c r="E333" s="9" t="s">
        <v>1672</v>
      </c>
      <c r="F333" s="9" t="s">
        <v>1673</v>
      </c>
      <c r="G333" s="9" t="s">
        <v>527</v>
      </c>
      <c r="H333" s="9" t="s">
        <v>25</v>
      </c>
      <c r="I333" s="9" t="s">
        <v>1674</v>
      </c>
    </row>
    <row r="334" customFormat="false" ht="39" hidden="false" customHeight="true" outlineLevel="0" collapsed="false">
      <c r="A334" s="10" t="s">
        <v>1675</v>
      </c>
      <c r="B334" s="10" t="s">
        <v>1676</v>
      </c>
      <c r="C334" s="10" t="s">
        <v>1677</v>
      </c>
      <c r="D334" s="10" t="n">
        <v>2021</v>
      </c>
      <c r="E334" s="10" t="s">
        <v>107</v>
      </c>
      <c r="F334" s="10" t="s">
        <v>1678</v>
      </c>
      <c r="G334" s="10" t="s">
        <v>527</v>
      </c>
      <c r="H334" s="10" t="s">
        <v>25</v>
      </c>
      <c r="I334" s="10" t="s">
        <v>1679</v>
      </c>
    </row>
    <row r="335" customFormat="false" ht="39" hidden="false" customHeight="true" outlineLevel="0" collapsed="false">
      <c r="A335" s="9" t="s">
        <v>1680</v>
      </c>
      <c r="B335" s="9" t="s">
        <v>183</v>
      </c>
      <c r="C335" s="9" t="s">
        <v>200</v>
      </c>
      <c r="D335" s="9" t="n">
        <v>2021</v>
      </c>
      <c r="E335" s="9" t="s">
        <v>66</v>
      </c>
      <c r="F335" s="9" t="s">
        <v>201</v>
      </c>
      <c r="G335" s="9" t="s">
        <v>507</v>
      </c>
      <c r="H335" s="9" t="s">
        <v>25</v>
      </c>
      <c r="I335" s="9" t="s">
        <v>1681</v>
      </c>
    </row>
    <row r="336" customFormat="false" ht="39" hidden="false" customHeight="true" outlineLevel="0" collapsed="false">
      <c r="A336" s="10" t="s">
        <v>1680</v>
      </c>
      <c r="B336" s="10" t="s">
        <v>183</v>
      </c>
      <c r="C336" s="10" t="s">
        <v>200</v>
      </c>
      <c r="D336" s="10" t="n">
        <v>2021</v>
      </c>
      <c r="E336" s="10" t="s">
        <v>66</v>
      </c>
      <c r="F336" s="10" t="s">
        <v>201</v>
      </c>
      <c r="G336" s="10" t="s">
        <v>527</v>
      </c>
      <c r="H336" s="10" t="s">
        <v>25</v>
      </c>
      <c r="I336" s="10" t="s">
        <v>1681</v>
      </c>
    </row>
    <row r="337" customFormat="false" ht="25.5" hidden="false" customHeight="true" outlineLevel="0" collapsed="false">
      <c r="A337" s="9" t="s">
        <v>1682</v>
      </c>
      <c r="B337" s="9" t="s">
        <v>1683</v>
      </c>
      <c r="C337" s="9" t="s">
        <v>1684</v>
      </c>
      <c r="D337" s="9" t="n">
        <v>2021</v>
      </c>
      <c r="E337" s="9" t="s">
        <v>1234</v>
      </c>
      <c r="F337" s="9" t="s">
        <v>1685</v>
      </c>
      <c r="G337" s="9" t="s">
        <v>527</v>
      </c>
      <c r="H337" s="9" t="s">
        <v>335</v>
      </c>
      <c r="I337" s="9" t="s">
        <v>1686</v>
      </c>
    </row>
    <row r="338" customFormat="false" ht="39" hidden="false" customHeight="true" outlineLevel="0" collapsed="false">
      <c r="A338" s="10" t="s">
        <v>1687</v>
      </c>
      <c r="B338" s="10" t="s">
        <v>1688</v>
      </c>
      <c r="C338" s="10" t="s">
        <v>1689</v>
      </c>
      <c r="D338" s="10" t="n">
        <v>2021</v>
      </c>
      <c r="E338" s="10" t="s">
        <v>876</v>
      </c>
      <c r="F338" s="10"/>
      <c r="G338" s="10" t="s">
        <v>527</v>
      </c>
      <c r="H338" s="10" t="s">
        <v>335</v>
      </c>
      <c r="I338" s="10" t="s">
        <v>1690</v>
      </c>
    </row>
    <row r="339" customFormat="false" ht="39" hidden="false" customHeight="true" outlineLevel="0" collapsed="false">
      <c r="A339" s="9" t="s">
        <v>1691</v>
      </c>
      <c r="B339" s="9" t="s">
        <v>345</v>
      </c>
      <c r="C339" s="9" t="s">
        <v>344</v>
      </c>
      <c r="D339" s="9" t="n">
        <v>2021</v>
      </c>
      <c r="E339" s="9" t="s">
        <v>346</v>
      </c>
      <c r="F339" s="9" t="s">
        <v>347</v>
      </c>
      <c r="G339" s="9" t="s">
        <v>507</v>
      </c>
      <c r="H339" s="9" t="s">
        <v>335</v>
      </c>
      <c r="I339" s="9" t="s">
        <v>1692</v>
      </c>
    </row>
    <row r="340" customFormat="false" ht="39" hidden="false" customHeight="true" outlineLevel="0" collapsed="false">
      <c r="A340" s="10" t="s">
        <v>1691</v>
      </c>
      <c r="B340" s="10" t="s">
        <v>345</v>
      </c>
      <c r="C340" s="10" t="s">
        <v>344</v>
      </c>
      <c r="D340" s="10" t="n">
        <v>2021</v>
      </c>
      <c r="E340" s="10" t="s">
        <v>346</v>
      </c>
      <c r="F340" s="10" t="s">
        <v>347</v>
      </c>
      <c r="G340" s="10" t="s">
        <v>527</v>
      </c>
      <c r="H340" s="10" t="s">
        <v>335</v>
      </c>
      <c r="I340" s="10" t="s">
        <v>1692</v>
      </c>
    </row>
    <row r="341" customFormat="false" ht="39" hidden="false" customHeight="true" outlineLevel="0" collapsed="false">
      <c r="A341" s="9" t="s">
        <v>1693</v>
      </c>
      <c r="B341" s="9" t="s">
        <v>242</v>
      </c>
      <c r="C341" s="9" t="s">
        <v>241</v>
      </c>
      <c r="D341" s="9" t="n">
        <v>2021</v>
      </c>
      <c r="E341" s="9" t="s">
        <v>166</v>
      </c>
      <c r="F341" s="9" t="s">
        <v>243</v>
      </c>
      <c r="G341" s="9" t="s">
        <v>507</v>
      </c>
      <c r="H341" s="9" t="s">
        <v>25</v>
      </c>
      <c r="I341" s="9" t="s">
        <v>1694</v>
      </c>
    </row>
    <row r="342" customFormat="false" ht="39" hidden="false" customHeight="true" outlineLevel="0" collapsed="false">
      <c r="A342" s="10" t="s">
        <v>1693</v>
      </c>
      <c r="B342" s="10" t="s">
        <v>242</v>
      </c>
      <c r="C342" s="10" t="s">
        <v>241</v>
      </c>
      <c r="D342" s="10" t="n">
        <v>2021</v>
      </c>
      <c r="E342" s="10" t="s">
        <v>166</v>
      </c>
      <c r="F342" s="10" t="s">
        <v>243</v>
      </c>
      <c r="G342" s="10" t="s">
        <v>527</v>
      </c>
      <c r="H342" s="10" t="s">
        <v>25</v>
      </c>
      <c r="I342" s="10" t="s">
        <v>1694</v>
      </c>
    </row>
    <row r="343" customFormat="false" ht="51.75" hidden="false" customHeight="true" outlineLevel="0" collapsed="false">
      <c r="A343" s="9" t="s">
        <v>1695</v>
      </c>
      <c r="B343" s="9" t="s">
        <v>1696</v>
      </c>
      <c r="C343" s="9" t="s">
        <v>1697</v>
      </c>
      <c r="D343" s="9" t="n">
        <v>2021</v>
      </c>
      <c r="E343" s="9" t="s">
        <v>1018</v>
      </c>
      <c r="F343" s="9" t="s">
        <v>1698</v>
      </c>
      <c r="G343" s="9" t="s">
        <v>507</v>
      </c>
      <c r="H343" s="9" t="s">
        <v>335</v>
      </c>
      <c r="I343" s="9" t="s">
        <v>1699</v>
      </c>
    </row>
    <row r="344" customFormat="false" ht="39" hidden="false" customHeight="true" outlineLevel="0" collapsed="false">
      <c r="A344" s="10" t="s">
        <v>1700</v>
      </c>
      <c r="B344" s="10" t="s">
        <v>1701</v>
      </c>
      <c r="C344" s="10" t="s">
        <v>1702</v>
      </c>
      <c r="D344" s="10" t="n">
        <v>2021</v>
      </c>
      <c r="E344" s="10" t="s">
        <v>32</v>
      </c>
      <c r="F344" s="10" t="s">
        <v>1703</v>
      </c>
      <c r="G344" s="10" t="s">
        <v>527</v>
      </c>
      <c r="H344" s="10" t="s">
        <v>25</v>
      </c>
      <c r="I344" s="10" t="s">
        <v>1704</v>
      </c>
    </row>
    <row r="345" customFormat="false" ht="64.5" hidden="false" customHeight="true" outlineLevel="0" collapsed="false">
      <c r="A345" s="9" t="s">
        <v>1705</v>
      </c>
      <c r="B345" s="9" t="s">
        <v>1706</v>
      </c>
      <c r="C345" s="9" t="s">
        <v>1707</v>
      </c>
      <c r="D345" s="9" t="n">
        <v>2021</v>
      </c>
      <c r="E345" s="9" t="s">
        <v>1708</v>
      </c>
      <c r="F345" s="9" t="s">
        <v>1709</v>
      </c>
      <c r="G345" s="9" t="s">
        <v>527</v>
      </c>
      <c r="H345" s="9" t="s">
        <v>25</v>
      </c>
      <c r="I345" s="9" t="s">
        <v>1710</v>
      </c>
    </row>
    <row r="346" customFormat="false" ht="39" hidden="false" customHeight="true" outlineLevel="0" collapsed="false">
      <c r="A346" s="10" t="s">
        <v>1711</v>
      </c>
      <c r="B346" s="10" t="s">
        <v>1712</v>
      </c>
      <c r="C346" s="10" t="s">
        <v>1713</v>
      </c>
      <c r="D346" s="10" t="n">
        <v>2021</v>
      </c>
      <c r="E346" s="10" t="s">
        <v>1714</v>
      </c>
      <c r="F346" s="10" t="s">
        <v>1715</v>
      </c>
      <c r="G346" s="10" t="s">
        <v>507</v>
      </c>
      <c r="H346" s="10" t="s">
        <v>25</v>
      </c>
      <c r="I346" s="10" t="s">
        <v>1716</v>
      </c>
    </row>
    <row r="347" customFormat="false" ht="39" hidden="false" customHeight="true" outlineLevel="0" collapsed="false">
      <c r="A347" s="9" t="s">
        <v>1717</v>
      </c>
      <c r="B347" s="9" t="s">
        <v>43</v>
      </c>
      <c r="C347" s="9" t="s">
        <v>42</v>
      </c>
      <c r="D347" s="9" t="n">
        <v>2021</v>
      </c>
      <c r="E347" s="9" t="s">
        <v>32</v>
      </c>
      <c r="F347" s="9" t="s">
        <v>44</v>
      </c>
      <c r="G347" s="9" t="s">
        <v>507</v>
      </c>
      <c r="H347" s="9" t="s">
        <v>25</v>
      </c>
      <c r="I347" s="9" t="s">
        <v>1718</v>
      </c>
    </row>
    <row r="348" customFormat="false" ht="39" hidden="false" customHeight="true" outlineLevel="0" collapsed="false">
      <c r="A348" s="10" t="s">
        <v>1717</v>
      </c>
      <c r="B348" s="10" t="s">
        <v>43</v>
      </c>
      <c r="C348" s="10" t="s">
        <v>42</v>
      </c>
      <c r="D348" s="10" t="n">
        <v>2021</v>
      </c>
      <c r="E348" s="10" t="s">
        <v>32</v>
      </c>
      <c r="F348" s="10" t="s">
        <v>44</v>
      </c>
      <c r="G348" s="10" t="s">
        <v>527</v>
      </c>
      <c r="H348" s="10" t="s">
        <v>25</v>
      </c>
      <c r="I348" s="10" t="s">
        <v>1718</v>
      </c>
    </row>
    <row r="349" customFormat="false" ht="39" hidden="false" customHeight="true" outlineLevel="0" collapsed="false">
      <c r="A349" s="9" t="s">
        <v>1719</v>
      </c>
      <c r="B349" s="9" t="s">
        <v>1720</v>
      </c>
      <c r="C349" s="9" t="s">
        <v>1721</v>
      </c>
      <c r="D349" s="9" t="n">
        <v>2021</v>
      </c>
      <c r="E349" s="9" t="s">
        <v>1722</v>
      </c>
      <c r="F349" s="9"/>
      <c r="G349" s="9" t="s">
        <v>507</v>
      </c>
      <c r="H349" s="9" t="s">
        <v>335</v>
      </c>
      <c r="I349" s="9" t="s">
        <v>1723</v>
      </c>
    </row>
    <row r="350" customFormat="false" ht="39" hidden="false" customHeight="true" outlineLevel="0" collapsed="false">
      <c r="A350" s="10" t="s">
        <v>1719</v>
      </c>
      <c r="B350" s="10" t="s">
        <v>1720</v>
      </c>
      <c r="C350" s="10" t="s">
        <v>1721</v>
      </c>
      <c r="D350" s="10" t="n">
        <v>2021</v>
      </c>
      <c r="E350" s="10" t="s">
        <v>1722</v>
      </c>
      <c r="F350" s="10"/>
      <c r="G350" s="10" t="s">
        <v>527</v>
      </c>
      <c r="H350" s="10" t="s">
        <v>335</v>
      </c>
      <c r="I350" s="10" t="s">
        <v>1723</v>
      </c>
    </row>
    <row r="351" customFormat="false" ht="51.75" hidden="false" customHeight="true" outlineLevel="0" collapsed="false">
      <c r="A351" s="9" t="s">
        <v>1724</v>
      </c>
      <c r="B351" s="9" t="s">
        <v>1725</v>
      </c>
      <c r="C351" s="9" t="s">
        <v>1726</v>
      </c>
      <c r="D351" s="9" t="n">
        <v>2021</v>
      </c>
      <c r="E351" s="9" t="s">
        <v>1333</v>
      </c>
      <c r="F351" s="9" t="s">
        <v>1727</v>
      </c>
      <c r="G351" s="9" t="s">
        <v>507</v>
      </c>
      <c r="H351" s="9" t="s">
        <v>514</v>
      </c>
      <c r="I351" s="9" t="s">
        <v>1728</v>
      </c>
    </row>
    <row r="352" customFormat="false" ht="51.75" hidden="false" customHeight="true" outlineLevel="0" collapsed="false">
      <c r="A352" s="10" t="s">
        <v>1724</v>
      </c>
      <c r="B352" s="10" t="s">
        <v>1725</v>
      </c>
      <c r="C352" s="10" t="s">
        <v>1726</v>
      </c>
      <c r="D352" s="10" t="n">
        <v>2021</v>
      </c>
      <c r="E352" s="10" t="s">
        <v>1333</v>
      </c>
      <c r="F352" s="10" t="s">
        <v>1727</v>
      </c>
      <c r="G352" s="10" t="s">
        <v>527</v>
      </c>
      <c r="H352" s="10" t="s">
        <v>514</v>
      </c>
      <c r="I352" s="10" t="s">
        <v>1728</v>
      </c>
    </row>
    <row r="353" customFormat="false" ht="25.5" hidden="false" customHeight="true" outlineLevel="0" collapsed="false">
      <c r="A353" s="9" t="s">
        <v>1729</v>
      </c>
      <c r="B353" s="9" t="s">
        <v>1730</v>
      </c>
      <c r="C353" s="9" t="s">
        <v>1731</v>
      </c>
      <c r="D353" s="9" t="n">
        <v>2021</v>
      </c>
      <c r="E353" s="9" t="s">
        <v>107</v>
      </c>
      <c r="F353" s="9" t="s">
        <v>1732</v>
      </c>
      <c r="G353" s="9" t="s">
        <v>527</v>
      </c>
      <c r="H353" s="9" t="s">
        <v>25</v>
      </c>
      <c r="I353" s="9" t="s">
        <v>1733</v>
      </c>
    </row>
    <row r="354" customFormat="false" ht="51.75" hidden="false" customHeight="true" outlineLevel="0" collapsed="false">
      <c r="A354" s="10" t="s">
        <v>1734</v>
      </c>
      <c r="B354" s="10" t="s">
        <v>1735</v>
      </c>
      <c r="C354" s="10" t="s">
        <v>1736</v>
      </c>
      <c r="D354" s="10" t="n">
        <v>2021</v>
      </c>
      <c r="E354" s="10" t="s">
        <v>268</v>
      </c>
      <c r="F354" s="10" t="s">
        <v>1737</v>
      </c>
      <c r="G354" s="10" t="s">
        <v>507</v>
      </c>
      <c r="H354" s="10" t="s">
        <v>25</v>
      </c>
      <c r="I354" s="10" t="s">
        <v>1738</v>
      </c>
    </row>
    <row r="355" customFormat="false" ht="25.5" hidden="false" customHeight="true" outlineLevel="0" collapsed="false">
      <c r="A355" s="9" t="s">
        <v>1739</v>
      </c>
      <c r="B355" s="9" t="s">
        <v>113</v>
      </c>
      <c r="C355" s="9" t="s">
        <v>112</v>
      </c>
      <c r="D355" s="9" t="n">
        <v>2021</v>
      </c>
      <c r="E355" s="9" t="s">
        <v>107</v>
      </c>
      <c r="F355" s="9" t="s">
        <v>114</v>
      </c>
      <c r="G355" s="9" t="s">
        <v>507</v>
      </c>
      <c r="H355" s="9" t="s">
        <v>25</v>
      </c>
      <c r="I355" s="9" t="s">
        <v>1740</v>
      </c>
    </row>
    <row r="356" customFormat="false" ht="25.5" hidden="false" customHeight="true" outlineLevel="0" collapsed="false">
      <c r="A356" s="10" t="s">
        <v>1739</v>
      </c>
      <c r="B356" s="10" t="s">
        <v>113</v>
      </c>
      <c r="C356" s="10" t="s">
        <v>112</v>
      </c>
      <c r="D356" s="10" t="n">
        <v>2021</v>
      </c>
      <c r="E356" s="10" t="s">
        <v>107</v>
      </c>
      <c r="F356" s="10" t="s">
        <v>114</v>
      </c>
      <c r="G356" s="10" t="s">
        <v>527</v>
      </c>
      <c r="H356" s="10" t="s">
        <v>25</v>
      </c>
      <c r="I356" s="10" t="s">
        <v>1740</v>
      </c>
    </row>
    <row r="357" customFormat="false" ht="39" hidden="false" customHeight="true" outlineLevel="0" collapsed="false">
      <c r="A357" s="9" t="s">
        <v>1741</v>
      </c>
      <c r="B357" s="9" t="s">
        <v>162</v>
      </c>
      <c r="C357" s="9" t="s">
        <v>161</v>
      </c>
      <c r="D357" s="9" t="n">
        <v>2021</v>
      </c>
      <c r="E357" s="9" t="s">
        <v>32</v>
      </c>
      <c r="F357" s="9" t="s">
        <v>163</v>
      </c>
      <c r="G357" s="9" t="s">
        <v>527</v>
      </c>
      <c r="H357" s="9" t="s">
        <v>25</v>
      </c>
      <c r="I357" s="9" t="s">
        <v>1742</v>
      </c>
    </row>
    <row r="358" customFormat="false" ht="39" hidden="false" customHeight="true" outlineLevel="0" collapsed="false">
      <c r="A358" s="10" t="s">
        <v>1743</v>
      </c>
      <c r="B358" s="10" t="s">
        <v>1744</v>
      </c>
      <c r="C358" s="10" t="s">
        <v>1745</v>
      </c>
      <c r="D358" s="10" t="n">
        <v>2021</v>
      </c>
      <c r="E358" s="10" t="s">
        <v>1746</v>
      </c>
      <c r="F358" s="10" t="s">
        <v>1747</v>
      </c>
      <c r="G358" s="10" t="s">
        <v>507</v>
      </c>
      <c r="H358" s="10" t="s">
        <v>25</v>
      </c>
      <c r="I358" s="10" t="s">
        <v>1748</v>
      </c>
    </row>
    <row r="359" customFormat="false" ht="39" hidden="false" customHeight="true" outlineLevel="0" collapsed="false">
      <c r="A359" s="9" t="s">
        <v>1743</v>
      </c>
      <c r="B359" s="9" t="s">
        <v>1744</v>
      </c>
      <c r="C359" s="9" t="s">
        <v>1745</v>
      </c>
      <c r="D359" s="9" t="n">
        <v>2021</v>
      </c>
      <c r="E359" s="9" t="s">
        <v>1746</v>
      </c>
      <c r="F359" s="9" t="s">
        <v>1747</v>
      </c>
      <c r="G359" s="9" t="s">
        <v>527</v>
      </c>
      <c r="H359" s="9" t="s">
        <v>25</v>
      </c>
      <c r="I359" s="9" t="s">
        <v>1748</v>
      </c>
    </row>
    <row r="360" customFormat="false" ht="39" hidden="false" customHeight="true" outlineLevel="0" collapsed="false">
      <c r="A360" s="10" t="s">
        <v>1749</v>
      </c>
      <c r="B360" s="10" t="s">
        <v>1750</v>
      </c>
      <c r="C360" s="10" t="s">
        <v>1751</v>
      </c>
      <c r="D360" s="10" t="n">
        <v>2021</v>
      </c>
      <c r="E360" s="10" t="s">
        <v>155</v>
      </c>
      <c r="F360" s="10" t="s">
        <v>1752</v>
      </c>
      <c r="G360" s="10" t="s">
        <v>507</v>
      </c>
      <c r="H360" s="10" t="s">
        <v>514</v>
      </c>
      <c r="I360" s="10" t="s">
        <v>1753</v>
      </c>
    </row>
    <row r="361" customFormat="false" ht="25.5" hidden="false" customHeight="true" outlineLevel="0" collapsed="false">
      <c r="A361" s="9" t="s">
        <v>1754</v>
      </c>
      <c r="B361" s="9" t="s">
        <v>183</v>
      </c>
      <c r="C361" s="9" t="s">
        <v>182</v>
      </c>
      <c r="D361" s="9" t="n">
        <v>2021</v>
      </c>
      <c r="E361" s="9" t="s">
        <v>184</v>
      </c>
      <c r="F361" s="9" t="s">
        <v>185</v>
      </c>
      <c r="G361" s="9" t="s">
        <v>507</v>
      </c>
      <c r="H361" s="9" t="s">
        <v>25</v>
      </c>
      <c r="I361" s="9" t="s">
        <v>1755</v>
      </c>
    </row>
    <row r="362" customFormat="false" ht="25.5" hidden="false" customHeight="true" outlineLevel="0" collapsed="false">
      <c r="A362" s="10" t="s">
        <v>1754</v>
      </c>
      <c r="B362" s="10" t="s">
        <v>183</v>
      </c>
      <c r="C362" s="10" t="s">
        <v>182</v>
      </c>
      <c r="D362" s="10" t="n">
        <v>2021</v>
      </c>
      <c r="E362" s="10" t="s">
        <v>184</v>
      </c>
      <c r="F362" s="10" t="s">
        <v>185</v>
      </c>
      <c r="G362" s="10" t="s">
        <v>527</v>
      </c>
      <c r="H362" s="10" t="s">
        <v>25</v>
      </c>
      <c r="I362" s="10" t="s">
        <v>1755</v>
      </c>
    </row>
    <row r="363" customFormat="false" ht="39" hidden="false" customHeight="true" outlineLevel="0" collapsed="false">
      <c r="A363" s="9" t="s">
        <v>1756</v>
      </c>
      <c r="B363" s="9" t="s">
        <v>1757</v>
      </c>
      <c r="C363" s="9" t="s">
        <v>1758</v>
      </c>
      <c r="D363" s="9" t="n">
        <v>2021</v>
      </c>
      <c r="E363" s="9" t="s">
        <v>107</v>
      </c>
      <c r="F363" s="9" t="s">
        <v>1759</v>
      </c>
      <c r="G363" s="9" t="s">
        <v>507</v>
      </c>
      <c r="H363" s="9" t="s">
        <v>25</v>
      </c>
      <c r="I363" s="9" t="s">
        <v>1760</v>
      </c>
    </row>
    <row r="364" customFormat="false" ht="25.5" hidden="false" customHeight="true" outlineLevel="0" collapsed="false">
      <c r="A364" s="10" t="s">
        <v>1761</v>
      </c>
      <c r="B364" s="10" t="s">
        <v>1762</v>
      </c>
      <c r="C364" s="10" t="s">
        <v>1763</v>
      </c>
      <c r="D364" s="10" t="n">
        <v>2021</v>
      </c>
      <c r="E364" s="10" t="s">
        <v>1764</v>
      </c>
      <c r="F364" s="10" t="s">
        <v>1765</v>
      </c>
      <c r="G364" s="10" t="s">
        <v>527</v>
      </c>
      <c r="H364" s="10" t="s">
        <v>25</v>
      </c>
      <c r="I364" s="10" t="s">
        <v>1766</v>
      </c>
    </row>
    <row r="365" customFormat="false" ht="39" hidden="false" customHeight="true" outlineLevel="0" collapsed="false">
      <c r="A365" s="9" t="s">
        <v>1767</v>
      </c>
      <c r="B365" s="9" t="s">
        <v>1768</v>
      </c>
      <c r="C365" s="9" t="s">
        <v>1769</v>
      </c>
      <c r="D365" s="9" t="n">
        <v>2021</v>
      </c>
      <c r="E365" s="9" t="s">
        <v>32</v>
      </c>
      <c r="F365" s="9" t="s">
        <v>1770</v>
      </c>
      <c r="G365" s="9" t="s">
        <v>527</v>
      </c>
      <c r="H365" s="9" t="s">
        <v>25</v>
      </c>
      <c r="I365" s="9" t="s">
        <v>1771</v>
      </c>
    </row>
    <row r="366" customFormat="false" ht="51.75" hidden="false" customHeight="true" outlineLevel="0" collapsed="false">
      <c r="A366" s="10" t="s">
        <v>1772</v>
      </c>
      <c r="B366" s="10" t="s">
        <v>110</v>
      </c>
      <c r="C366" s="10" t="s">
        <v>109</v>
      </c>
      <c r="D366" s="10" t="n">
        <v>2021</v>
      </c>
      <c r="E366" s="10" t="s">
        <v>107</v>
      </c>
      <c r="F366" s="10" t="s">
        <v>111</v>
      </c>
      <c r="G366" s="10" t="s">
        <v>507</v>
      </c>
      <c r="H366" s="10" t="s">
        <v>25</v>
      </c>
      <c r="I366" s="10" t="s">
        <v>1773</v>
      </c>
    </row>
    <row r="367" customFormat="false" ht="51.75" hidden="false" customHeight="true" outlineLevel="0" collapsed="false">
      <c r="A367" s="9" t="s">
        <v>1772</v>
      </c>
      <c r="B367" s="9" t="s">
        <v>110</v>
      </c>
      <c r="C367" s="9" t="s">
        <v>109</v>
      </c>
      <c r="D367" s="9" t="n">
        <v>2021</v>
      </c>
      <c r="E367" s="9" t="s">
        <v>107</v>
      </c>
      <c r="F367" s="9" t="s">
        <v>111</v>
      </c>
      <c r="G367" s="9" t="s">
        <v>527</v>
      </c>
      <c r="H367" s="9" t="s">
        <v>25</v>
      </c>
      <c r="I367" s="9" t="s">
        <v>1773</v>
      </c>
    </row>
    <row r="368" customFormat="false" ht="39" hidden="false" customHeight="true" outlineLevel="0" collapsed="false">
      <c r="A368" s="10" t="s">
        <v>1774</v>
      </c>
      <c r="B368" s="10" t="s">
        <v>76</v>
      </c>
      <c r="C368" s="10" t="s">
        <v>75</v>
      </c>
      <c r="D368" s="10" t="n">
        <v>2021</v>
      </c>
      <c r="E368" s="10" t="s">
        <v>77</v>
      </c>
      <c r="F368" s="10" t="s">
        <v>78</v>
      </c>
      <c r="G368" s="10" t="s">
        <v>507</v>
      </c>
      <c r="H368" s="10" t="s">
        <v>25</v>
      </c>
      <c r="I368" s="10" t="s">
        <v>1775</v>
      </c>
    </row>
    <row r="369" customFormat="false" ht="39" hidden="false" customHeight="true" outlineLevel="0" collapsed="false">
      <c r="A369" s="9" t="s">
        <v>1774</v>
      </c>
      <c r="B369" s="9" t="s">
        <v>76</v>
      </c>
      <c r="C369" s="9" t="s">
        <v>75</v>
      </c>
      <c r="D369" s="9" t="n">
        <v>2021</v>
      </c>
      <c r="E369" s="9" t="s">
        <v>77</v>
      </c>
      <c r="F369" s="9" t="s">
        <v>78</v>
      </c>
      <c r="G369" s="9" t="s">
        <v>527</v>
      </c>
      <c r="H369" s="9" t="s">
        <v>25</v>
      </c>
      <c r="I369" s="9" t="s">
        <v>1775</v>
      </c>
    </row>
    <row r="370" customFormat="false" ht="25.5" hidden="false" customHeight="true" outlineLevel="0" collapsed="false">
      <c r="A370" s="10" t="s">
        <v>1776</v>
      </c>
      <c r="B370" s="10" t="s">
        <v>1777</v>
      </c>
      <c r="C370" s="10" t="s">
        <v>1778</v>
      </c>
      <c r="D370" s="10" t="n">
        <v>2021</v>
      </c>
      <c r="E370" s="10" t="s">
        <v>1779</v>
      </c>
      <c r="F370" s="10" t="s">
        <v>1780</v>
      </c>
      <c r="G370" s="10" t="s">
        <v>527</v>
      </c>
      <c r="H370" s="10" t="s">
        <v>335</v>
      </c>
      <c r="I370" s="10" t="s">
        <v>1781</v>
      </c>
    </row>
    <row r="371" customFormat="false" ht="25.5" hidden="false" customHeight="true" outlineLevel="0" collapsed="false">
      <c r="A371" s="9" t="s">
        <v>1782</v>
      </c>
      <c r="B371" s="9" t="s">
        <v>1783</v>
      </c>
      <c r="C371" s="9" t="s">
        <v>1784</v>
      </c>
      <c r="D371" s="9" t="n">
        <v>2021</v>
      </c>
      <c r="E371" s="9" t="s">
        <v>107</v>
      </c>
      <c r="F371" s="9" t="s">
        <v>1785</v>
      </c>
      <c r="G371" s="9" t="s">
        <v>507</v>
      </c>
      <c r="H371" s="9" t="s">
        <v>25</v>
      </c>
      <c r="I371" s="9" t="s">
        <v>1786</v>
      </c>
    </row>
    <row r="372" customFormat="false" ht="25.5" hidden="false" customHeight="true" outlineLevel="0" collapsed="false">
      <c r="A372" s="10" t="s">
        <v>1782</v>
      </c>
      <c r="B372" s="10" t="s">
        <v>1783</v>
      </c>
      <c r="C372" s="10" t="s">
        <v>1784</v>
      </c>
      <c r="D372" s="10" t="n">
        <v>2021</v>
      </c>
      <c r="E372" s="10" t="s">
        <v>107</v>
      </c>
      <c r="F372" s="10" t="s">
        <v>1785</v>
      </c>
      <c r="G372" s="10" t="s">
        <v>527</v>
      </c>
      <c r="H372" s="10" t="s">
        <v>25</v>
      </c>
      <c r="I372" s="10" t="s">
        <v>1786</v>
      </c>
    </row>
    <row r="373" customFormat="false" ht="39" hidden="false" customHeight="true" outlineLevel="0" collapsed="false">
      <c r="A373" s="9" t="s">
        <v>1787</v>
      </c>
      <c r="B373" s="9" t="s">
        <v>1788</v>
      </c>
      <c r="C373" s="9" t="s">
        <v>1789</v>
      </c>
      <c r="D373" s="9" t="n">
        <v>2021</v>
      </c>
      <c r="E373" s="9" t="s">
        <v>130</v>
      </c>
      <c r="F373" s="9" t="s">
        <v>1790</v>
      </c>
      <c r="G373" s="9" t="s">
        <v>507</v>
      </c>
      <c r="H373" s="9" t="s">
        <v>25</v>
      </c>
      <c r="I373" s="9" t="s">
        <v>1791</v>
      </c>
    </row>
    <row r="374" customFormat="false" ht="51.75" hidden="false" customHeight="true" outlineLevel="0" collapsed="false">
      <c r="A374" s="10" t="s">
        <v>1792</v>
      </c>
      <c r="B374" s="10" t="s">
        <v>1793</v>
      </c>
      <c r="C374" s="10" t="s">
        <v>1794</v>
      </c>
      <c r="D374" s="10" t="n">
        <v>2021</v>
      </c>
      <c r="E374" s="10" t="s">
        <v>1570</v>
      </c>
      <c r="F374" s="10" t="s">
        <v>1795</v>
      </c>
      <c r="G374" s="10" t="s">
        <v>507</v>
      </c>
      <c r="H374" s="10" t="s">
        <v>25</v>
      </c>
      <c r="I374" s="10" t="s">
        <v>1796</v>
      </c>
    </row>
    <row r="375" customFormat="false" ht="51.75" hidden="false" customHeight="true" outlineLevel="0" collapsed="false">
      <c r="A375" s="9" t="s">
        <v>1792</v>
      </c>
      <c r="B375" s="9" t="s">
        <v>1793</v>
      </c>
      <c r="C375" s="9" t="s">
        <v>1794</v>
      </c>
      <c r="D375" s="9" t="n">
        <v>2021</v>
      </c>
      <c r="E375" s="9" t="s">
        <v>1570</v>
      </c>
      <c r="F375" s="9" t="s">
        <v>1795</v>
      </c>
      <c r="G375" s="9" t="s">
        <v>527</v>
      </c>
      <c r="H375" s="9" t="s">
        <v>25</v>
      </c>
      <c r="I375" s="9" t="s">
        <v>1796</v>
      </c>
    </row>
    <row r="376" customFormat="false" ht="51.75" hidden="false" customHeight="true" outlineLevel="0" collapsed="false">
      <c r="A376" s="10" t="s">
        <v>1797</v>
      </c>
      <c r="B376" s="10" t="s">
        <v>1798</v>
      </c>
      <c r="C376" s="10" t="s">
        <v>1799</v>
      </c>
      <c r="D376" s="10" t="n">
        <v>2021</v>
      </c>
      <c r="E376" s="10" t="s">
        <v>876</v>
      </c>
      <c r="F376" s="10"/>
      <c r="G376" s="10" t="s">
        <v>527</v>
      </c>
      <c r="H376" s="10" t="s">
        <v>335</v>
      </c>
      <c r="I376" s="10" t="s">
        <v>1800</v>
      </c>
    </row>
    <row r="377" customFormat="false" ht="25.5" hidden="false" customHeight="true" outlineLevel="0" collapsed="false">
      <c r="A377" s="9" t="s">
        <v>1801</v>
      </c>
      <c r="B377" s="9" t="s">
        <v>61</v>
      </c>
      <c r="C377" s="9" t="s">
        <v>60</v>
      </c>
      <c r="D377" s="9" t="n">
        <v>2021</v>
      </c>
      <c r="E377" s="9" t="s">
        <v>62</v>
      </c>
      <c r="F377" s="9" t="s">
        <v>63</v>
      </c>
      <c r="G377" s="9" t="s">
        <v>507</v>
      </c>
      <c r="H377" s="9" t="s">
        <v>25</v>
      </c>
      <c r="I377" s="9" t="s">
        <v>1802</v>
      </c>
    </row>
    <row r="378" customFormat="false" ht="25.5" hidden="false" customHeight="true" outlineLevel="0" collapsed="false">
      <c r="A378" s="10" t="s">
        <v>1801</v>
      </c>
      <c r="B378" s="10" t="s">
        <v>61</v>
      </c>
      <c r="C378" s="10" t="s">
        <v>60</v>
      </c>
      <c r="D378" s="10" t="n">
        <v>2021</v>
      </c>
      <c r="E378" s="10" t="s">
        <v>62</v>
      </c>
      <c r="F378" s="10" t="s">
        <v>63</v>
      </c>
      <c r="G378" s="10" t="s">
        <v>527</v>
      </c>
      <c r="H378" s="10" t="s">
        <v>25</v>
      </c>
      <c r="I378" s="10" t="s">
        <v>1802</v>
      </c>
    </row>
    <row r="379" customFormat="false" ht="25.5" hidden="false" customHeight="true" outlineLevel="0" collapsed="false">
      <c r="A379" s="9" t="s">
        <v>1803</v>
      </c>
      <c r="B379" s="9" t="s">
        <v>1276</v>
      </c>
      <c r="C379" s="9" t="s">
        <v>1804</v>
      </c>
      <c r="D379" s="9" t="n">
        <v>2021</v>
      </c>
      <c r="E379" s="9" t="s">
        <v>107</v>
      </c>
      <c r="F379" s="9" t="s">
        <v>1805</v>
      </c>
      <c r="G379" s="9" t="s">
        <v>507</v>
      </c>
      <c r="H379" s="9" t="s">
        <v>25</v>
      </c>
      <c r="I379" s="9" t="s">
        <v>1806</v>
      </c>
    </row>
    <row r="380" customFormat="false" ht="25.5" hidden="false" customHeight="true" outlineLevel="0" collapsed="false">
      <c r="A380" s="10" t="s">
        <v>1807</v>
      </c>
      <c r="B380" s="10" t="s">
        <v>1808</v>
      </c>
      <c r="C380" s="10" t="s">
        <v>1809</v>
      </c>
      <c r="D380" s="10" t="n">
        <v>2021</v>
      </c>
      <c r="E380" s="10" t="s">
        <v>1810</v>
      </c>
      <c r="F380" s="10" t="s">
        <v>1811</v>
      </c>
      <c r="G380" s="10" t="s">
        <v>507</v>
      </c>
      <c r="H380" s="10" t="s">
        <v>335</v>
      </c>
      <c r="I380" s="10" t="s">
        <v>1812</v>
      </c>
    </row>
    <row r="381" customFormat="false" ht="25.5" hidden="false" customHeight="true" outlineLevel="0" collapsed="false">
      <c r="A381" s="9" t="s">
        <v>1807</v>
      </c>
      <c r="B381" s="9" t="s">
        <v>1808</v>
      </c>
      <c r="C381" s="9" t="s">
        <v>1809</v>
      </c>
      <c r="D381" s="9" t="n">
        <v>2021</v>
      </c>
      <c r="E381" s="9" t="s">
        <v>1810</v>
      </c>
      <c r="F381" s="9" t="s">
        <v>1811</v>
      </c>
      <c r="G381" s="9" t="s">
        <v>527</v>
      </c>
      <c r="H381" s="9" t="s">
        <v>335</v>
      </c>
      <c r="I381" s="9" t="s">
        <v>1812</v>
      </c>
    </row>
    <row r="382" customFormat="false" ht="51.75" hidden="false" customHeight="true" outlineLevel="0" collapsed="false">
      <c r="A382" s="10" t="s">
        <v>1813</v>
      </c>
      <c r="B382" s="10" t="s">
        <v>1814</v>
      </c>
      <c r="C382" s="10" t="s">
        <v>1815</v>
      </c>
      <c r="D382" s="10" t="n">
        <v>2021</v>
      </c>
      <c r="E382" s="10" t="s">
        <v>1018</v>
      </c>
      <c r="F382" s="10" t="s">
        <v>1816</v>
      </c>
      <c r="G382" s="10" t="s">
        <v>527</v>
      </c>
      <c r="H382" s="10" t="s">
        <v>335</v>
      </c>
      <c r="I382" s="10" t="s">
        <v>1817</v>
      </c>
    </row>
    <row r="383" customFormat="false" ht="39" hidden="false" customHeight="true" outlineLevel="0" collapsed="false">
      <c r="A383" s="9" t="s">
        <v>1818</v>
      </c>
      <c r="B383" s="9" t="s">
        <v>1819</v>
      </c>
      <c r="C383" s="9" t="s">
        <v>1820</v>
      </c>
      <c r="D383" s="9" t="n">
        <v>2021</v>
      </c>
      <c r="E383" s="9" t="s">
        <v>81</v>
      </c>
      <c r="F383" s="9" t="s">
        <v>1821</v>
      </c>
      <c r="G383" s="9" t="s">
        <v>507</v>
      </c>
      <c r="H383" s="9" t="s">
        <v>25</v>
      </c>
      <c r="I383" s="9" t="s">
        <v>1822</v>
      </c>
    </row>
    <row r="384" customFormat="false" ht="39" hidden="false" customHeight="true" outlineLevel="0" collapsed="false">
      <c r="A384" s="10" t="s">
        <v>1818</v>
      </c>
      <c r="B384" s="10" t="s">
        <v>1819</v>
      </c>
      <c r="C384" s="10" t="s">
        <v>1820</v>
      </c>
      <c r="D384" s="10" t="n">
        <v>2021</v>
      </c>
      <c r="E384" s="10" t="s">
        <v>81</v>
      </c>
      <c r="F384" s="10" t="s">
        <v>1821</v>
      </c>
      <c r="G384" s="10" t="s">
        <v>527</v>
      </c>
      <c r="H384" s="10" t="s">
        <v>25</v>
      </c>
      <c r="I384" s="10" t="s">
        <v>1822</v>
      </c>
    </row>
    <row r="385" customFormat="false" ht="25.5" hidden="false" customHeight="true" outlineLevel="0" collapsed="false">
      <c r="A385" s="9" t="s">
        <v>1823</v>
      </c>
      <c r="B385" s="9" t="s">
        <v>1824</v>
      </c>
      <c r="C385" s="9" t="s">
        <v>1825</v>
      </c>
      <c r="D385" s="9" t="n">
        <v>2021</v>
      </c>
      <c r="E385" s="9" t="s">
        <v>166</v>
      </c>
      <c r="F385" s="9" t="s">
        <v>1826</v>
      </c>
      <c r="G385" s="9" t="s">
        <v>507</v>
      </c>
      <c r="H385" s="9" t="s">
        <v>25</v>
      </c>
      <c r="I385" s="9" t="s">
        <v>1827</v>
      </c>
    </row>
    <row r="386" customFormat="false" ht="51.75" hidden="false" customHeight="true" outlineLevel="0" collapsed="false">
      <c r="A386" s="10" t="s">
        <v>1828</v>
      </c>
      <c r="B386" s="10" t="s">
        <v>1637</v>
      </c>
      <c r="C386" s="10" t="s">
        <v>1829</v>
      </c>
      <c r="D386" s="10" t="n">
        <v>2021</v>
      </c>
      <c r="E386" s="10" t="s">
        <v>1830</v>
      </c>
      <c r="F386" s="10" t="s">
        <v>1831</v>
      </c>
      <c r="G386" s="10" t="s">
        <v>507</v>
      </c>
      <c r="H386" s="10" t="s">
        <v>25</v>
      </c>
      <c r="I386" s="10" t="s">
        <v>1832</v>
      </c>
    </row>
    <row r="387" customFormat="false" ht="51.75" hidden="false" customHeight="true" outlineLevel="0" collapsed="false">
      <c r="A387" s="9" t="s">
        <v>1828</v>
      </c>
      <c r="B387" s="9" t="s">
        <v>1637</v>
      </c>
      <c r="C387" s="9" t="s">
        <v>1829</v>
      </c>
      <c r="D387" s="9" t="n">
        <v>2021</v>
      </c>
      <c r="E387" s="9" t="s">
        <v>1830</v>
      </c>
      <c r="F387" s="9" t="s">
        <v>1831</v>
      </c>
      <c r="G387" s="9" t="s">
        <v>527</v>
      </c>
      <c r="H387" s="9" t="s">
        <v>25</v>
      </c>
      <c r="I387" s="9" t="s">
        <v>1832</v>
      </c>
    </row>
    <row r="388" customFormat="false" ht="25.5" hidden="false" customHeight="true" outlineLevel="0" collapsed="false">
      <c r="A388" s="10" t="s">
        <v>1833</v>
      </c>
      <c r="B388" s="10" t="s">
        <v>1834</v>
      </c>
      <c r="C388" s="10" t="s">
        <v>1835</v>
      </c>
      <c r="D388" s="10" t="n">
        <v>2021</v>
      </c>
      <c r="E388" s="10" t="s">
        <v>1836</v>
      </c>
      <c r="F388" s="10" t="s">
        <v>1837</v>
      </c>
      <c r="G388" s="10" t="s">
        <v>527</v>
      </c>
      <c r="H388" s="10" t="s">
        <v>25</v>
      </c>
      <c r="I388" s="10" t="s">
        <v>1838</v>
      </c>
    </row>
    <row r="389" customFormat="false" ht="25.5" hidden="false" customHeight="true" outlineLevel="0" collapsed="false">
      <c r="A389" s="9" t="s">
        <v>1839</v>
      </c>
      <c r="B389" s="9" t="s">
        <v>1840</v>
      </c>
      <c r="C389" s="9" t="s">
        <v>1841</v>
      </c>
      <c r="D389" s="9" t="n">
        <v>2021</v>
      </c>
      <c r="E389" s="9" t="s">
        <v>876</v>
      </c>
      <c r="F389" s="9"/>
      <c r="G389" s="9" t="s">
        <v>507</v>
      </c>
      <c r="H389" s="9" t="s">
        <v>335</v>
      </c>
      <c r="I389" s="9" t="s">
        <v>1842</v>
      </c>
    </row>
    <row r="390" customFormat="false" ht="51.75" hidden="false" customHeight="true" outlineLevel="0" collapsed="false">
      <c r="A390" s="10" t="s">
        <v>1843</v>
      </c>
      <c r="B390" s="10" t="s">
        <v>1844</v>
      </c>
      <c r="C390" s="10" t="s">
        <v>1845</v>
      </c>
      <c r="D390" s="10" t="n">
        <v>2021</v>
      </c>
      <c r="E390" s="10" t="s">
        <v>1846</v>
      </c>
      <c r="F390" s="10" t="s">
        <v>1847</v>
      </c>
      <c r="G390" s="10" t="s">
        <v>507</v>
      </c>
      <c r="H390" s="10" t="s">
        <v>25</v>
      </c>
      <c r="I390" s="10" t="s">
        <v>1848</v>
      </c>
    </row>
    <row r="391" customFormat="false" ht="51.75" hidden="false" customHeight="true" outlineLevel="0" collapsed="false">
      <c r="A391" s="9" t="s">
        <v>1843</v>
      </c>
      <c r="B391" s="9" t="s">
        <v>1844</v>
      </c>
      <c r="C391" s="9" t="s">
        <v>1845</v>
      </c>
      <c r="D391" s="9" t="n">
        <v>2021</v>
      </c>
      <c r="E391" s="9" t="s">
        <v>1846</v>
      </c>
      <c r="F391" s="9" t="s">
        <v>1847</v>
      </c>
      <c r="G391" s="9" t="s">
        <v>527</v>
      </c>
      <c r="H391" s="9" t="s">
        <v>25</v>
      </c>
      <c r="I391" s="9" t="s">
        <v>1848</v>
      </c>
    </row>
    <row r="392" customFormat="false" ht="39" hidden="false" customHeight="true" outlineLevel="0" collapsed="false">
      <c r="A392" s="10" t="s">
        <v>1849</v>
      </c>
      <c r="B392" s="10" t="s">
        <v>1850</v>
      </c>
      <c r="C392" s="10" t="s">
        <v>1851</v>
      </c>
      <c r="D392" s="10" t="n">
        <v>2020</v>
      </c>
      <c r="E392" s="10" t="s">
        <v>32</v>
      </c>
      <c r="F392" s="10" t="s">
        <v>1852</v>
      </c>
      <c r="G392" s="10" t="s">
        <v>507</v>
      </c>
      <c r="H392" s="10" t="s">
        <v>25</v>
      </c>
      <c r="I392" s="10" t="s">
        <v>1853</v>
      </c>
    </row>
    <row r="393" customFormat="false" ht="39" hidden="false" customHeight="true" outlineLevel="0" collapsed="false">
      <c r="A393" s="9" t="s">
        <v>1849</v>
      </c>
      <c r="B393" s="9" t="s">
        <v>1850</v>
      </c>
      <c r="C393" s="9" t="s">
        <v>1851</v>
      </c>
      <c r="D393" s="9" t="n">
        <v>2020</v>
      </c>
      <c r="E393" s="9" t="s">
        <v>32</v>
      </c>
      <c r="F393" s="9" t="s">
        <v>1852</v>
      </c>
      <c r="G393" s="9" t="s">
        <v>527</v>
      </c>
      <c r="H393" s="9" t="s">
        <v>25</v>
      </c>
      <c r="I393" s="9" t="s">
        <v>1853</v>
      </c>
    </row>
    <row r="394" customFormat="false" ht="25.5" hidden="false" customHeight="true" outlineLevel="0" collapsed="false">
      <c r="A394" s="10" t="s">
        <v>1854</v>
      </c>
      <c r="B394" s="10" t="s">
        <v>84</v>
      </c>
      <c r="C394" s="10" t="s">
        <v>83</v>
      </c>
      <c r="D394" s="10" t="n">
        <v>2020</v>
      </c>
      <c r="E394" s="10" t="s">
        <v>32</v>
      </c>
      <c r="F394" s="10" t="s">
        <v>85</v>
      </c>
      <c r="G394" s="10" t="s">
        <v>507</v>
      </c>
      <c r="H394" s="10" t="s">
        <v>25</v>
      </c>
      <c r="I394" s="10" t="s">
        <v>1855</v>
      </c>
    </row>
    <row r="395" customFormat="false" ht="25.5" hidden="false" customHeight="true" outlineLevel="0" collapsed="false">
      <c r="A395" s="9" t="s">
        <v>1854</v>
      </c>
      <c r="B395" s="9" t="s">
        <v>84</v>
      </c>
      <c r="C395" s="9" t="s">
        <v>83</v>
      </c>
      <c r="D395" s="9" t="n">
        <v>2020</v>
      </c>
      <c r="E395" s="9" t="s">
        <v>32</v>
      </c>
      <c r="F395" s="9" t="s">
        <v>85</v>
      </c>
      <c r="G395" s="9" t="s">
        <v>527</v>
      </c>
      <c r="H395" s="9" t="s">
        <v>25</v>
      </c>
      <c r="I395" s="9" t="s">
        <v>1855</v>
      </c>
    </row>
    <row r="396" customFormat="false" ht="51.75" hidden="false" customHeight="true" outlineLevel="0" collapsed="false">
      <c r="A396" s="10" t="s">
        <v>1856</v>
      </c>
      <c r="B396" s="10" t="s">
        <v>1857</v>
      </c>
      <c r="C396" s="10" t="s">
        <v>1858</v>
      </c>
      <c r="D396" s="10" t="n">
        <v>2020</v>
      </c>
      <c r="E396" s="10" t="s">
        <v>1859</v>
      </c>
      <c r="F396" s="10"/>
      <c r="G396" s="10" t="s">
        <v>527</v>
      </c>
      <c r="H396" s="10" t="s">
        <v>25</v>
      </c>
      <c r="I396" s="10" t="s">
        <v>1860</v>
      </c>
    </row>
    <row r="397" customFormat="false" ht="51.75" hidden="false" customHeight="true" outlineLevel="0" collapsed="false">
      <c r="A397" s="9" t="s">
        <v>1861</v>
      </c>
      <c r="B397" s="9" t="s">
        <v>261</v>
      </c>
      <c r="C397" s="9" t="s">
        <v>260</v>
      </c>
      <c r="D397" s="9" t="n">
        <v>2020</v>
      </c>
      <c r="E397" s="9" t="s">
        <v>262</v>
      </c>
      <c r="F397" s="9"/>
      <c r="G397" s="9" t="s">
        <v>507</v>
      </c>
      <c r="H397" s="9" t="s">
        <v>25</v>
      </c>
      <c r="I397" s="9" t="s">
        <v>1862</v>
      </c>
    </row>
    <row r="398" customFormat="false" ht="51.75" hidden="false" customHeight="true" outlineLevel="0" collapsed="false">
      <c r="A398" s="10" t="s">
        <v>1861</v>
      </c>
      <c r="B398" s="10" t="s">
        <v>261</v>
      </c>
      <c r="C398" s="10" t="s">
        <v>260</v>
      </c>
      <c r="D398" s="10" t="n">
        <v>2020</v>
      </c>
      <c r="E398" s="10" t="s">
        <v>262</v>
      </c>
      <c r="F398" s="10"/>
      <c r="G398" s="10" t="s">
        <v>527</v>
      </c>
      <c r="H398" s="10" t="s">
        <v>25</v>
      </c>
      <c r="I398" s="10" t="s">
        <v>1862</v>
      </c>
    </row>
    <row r="399" customFormat="false" ht="25.5" hidden="false" customHeight="true" outlineLevel="0" collapsed="false">
      <c r="A399" s="9" t="s">
        <v>1863</v>
      </c>
      <c r="B399" s="9" t="s">
        <v>1864</v>
      </c>
      <c r="C399" s="9" t="s">
        <v>1865</v>
      </c>
      <c r="D399" s="9" t="n">
        <v>2020</v>
      </c>
      <c r="E399" s="9" t="s">
        <v>980</v>
      </c>
      <c r="F399" s="9" t="s">
        <v>1866</v>
      </c>
      <c r="G399" s="9" t="s">
        <v>507</v>
      </c>
      <c r="H399" s="9" t="s">
        <v>335</v>
      </c>
      <c r="I399" s="9" t="s">
        <v>1867</v>
      </c>
    </row>
    <row r="400" customFormat="false" ht="25.5" hidden="false" customHeight="true" outlineLevel="0" collapsed="false">
      <c r="A400" s="10" t="s">
        <v>1863</v>
      </c>
      <c r="B400" s="10" t="s">
        <v>1864</v>
      </c>
      <c r="C400" s="10" t="s">
        <v>1865</v>
      </c>
      <c r="D400" s="10" t="n">
        <v>2020</v>
      </c>
      <c r="E400" s="10" t="s">
        <v>980</v>
      </c>
      <c r="F400" s="10" t="s">
        <v>1866</v>
      </c>
      <c r="G400" s="10" t="s">
        <v>527</v>
      </c>
      <c r="H400" s="10" t="s">
        <v>335</v>
      </c>
      <c r="I400" s="10" t="s">
        <v>1867</v>
      </c>
    </row>
    <row r="401" customFormat="false" ht="39" hidden="false" customHeight="true" outlineLevel="0" collapsed="false">
      <c r="A401" s="9" t="s">
        <v>1868</v>
      </c>
      <c r="B401" s="9" t="s">
        <v>1869</v>
      </c>
      <c r="C401" s="9" t="s">
        <v>1870</v>
      </c>
      <c r="D401" s="9" t="n">
        <v>2020</v>
      </c>
      <c r="E401" s="9" t="s">
        <v>268</v>
      </c>
      <c r="F401" s="9" t="s">
        <v>1871</v>
      </c>
      <c r="G401" s="9" t="s">
        <v>527</v>
      </c>
      <c r="H401" s="9" t="s">
        <v>25</v>
      </c>
      <c r="I401" s="9" t="s">
        <v>1872</v>
      </c>
    </row>
    <row r="402" customFormat="false" ht="39" hidden="false" customHeight="true" outlineLevel="0" collapsed="false">
      <c r="A402" s="10" t="s">
        <v>1873</v>
      </c>
      <c r="B402" s="10" t="s">
        <v>1874</v>
      </c>
      <c r="C402" s="10" t="s">
        <v>1875</v>
      </c>
      <c r="D402" s="10" t="n">
        <v>2020</v>
      </c>
      <c r="E402" s="10" t="s">
        <v>32</v>
      </c>
      <c r="F402" s="10" t="s">
        <v>1876</v>
      </c>
      <c r="G402" s="10" t="s">
        <v>507</v>
      </c>
      <c r="H402" s="10" t="s">
        <v>25</v>
      </c>
      <c r="I402" s="10" t="s">
        <v>1877</v>
      </c>
    </row>
    <row r="403" customFormat="false" ht="39" hidden="false" customHeight="true" outlineLevel="0" collapsed="false">
      <c r="A403" s="9" t="s">
        <v>1878</v>
      </c>
      <c r="B403" s="9" t="s">
        <v>315</v>
      </c>
      <c r="C403" s="9" t="s">
        <v>314</v>
      </c>
      <c r="D403" s="9" t="n">
        <v>2020</v>
      </c>
      <c r="E403" s="9" t="s">
        <v>300</v>
      </c>
      <c r="F403" s="9" t="s">
        <v>316</v>
      </c>
      <c r="G403" s="9" t="s">
        <v>527</v>
      </c>
      <c r="H403" s="9" t="s">
        <v>25</v>
      </c>
      <c r="I403" s="9" t="s">
        <v>1879</v>
      </c>
    </row>
    <row r="404" customFormat="false" ht="51.75" hidden="false" customHeight="true" outlineLevel="0" collapsed="false">
      <c r="A404" s="10" t="s">
        <v>1880</v>
      </c>
      <c r="B404" s="10" t="s">
        <v>1881</v>
      </c>
      <c r="C404" s="10" t="s">
        <v>1882</v>
      </c>
      <c r="D404" s="10" t="n">
        <v>2020</v>
      </c>
      <c r="E404" s="10" t="s">
        <v>1883</v>
      </c>
      <c r="F404" s="10"/>
      <c r="G404" s="10" t="s">
        <v>507</v>
      </c>
      <c r="H404" s="10" t="s">
        <v>25</v>
      </c>
      <c r="I404" s="10" t="s">
        <v>1884</v>
      </c>
    </row>
    <row r="405" customFormat="false" ht="51.75" hidden="false" customHeight="true" outlineLevel="0" collapsed="false">
      <c r="A405" s="9" t="s">
        <v>1880</v>
      </c>
      <c r="B405" s="9" t="s">
        <v>1881</v>
      </c>
      <c r="C405" s="9" t="s">
        <v>1882</v>
      </c>
      <c r="D405" s="9" t="n">
        <v>2020</v>
      </c>
      <c r="E405" s="9" t="s">
        <v>1883</v>
      </c>
      <c r="F405" s="9"/>
      <c r="G405" s="9" t="s">
        <v>527</v>
      </c>
      <c r="H405" s="9" t="s">
        <v>25</v>
      </c>
      <c r="I405" s="9" t="s">
        <v>1884</v>
      </c>
    </row>
    <row r="406" customFormat="false" ht="51.75" hidden="false" customHeight="true" outlineLevel="0" collapsed="false">
      <c r="A406" s="10" t="s">
        <v>1885</v>
      </c>
      <c r="B406" s="10" t="s">
        <v>1886</v>
      </c>
      <c r="C406" s="10" t="s">
        <v>1887</v>
      </c>
      <c r="D406" s="10" t="n">
        <v>2020</v>
      </c>
      <c r="E406" s="10" t="s">
        <v>1859</v>
      </c>
      <c r="F406" s="10"/>
      <c r="G406" s="10" t="s">
        <v>527</v>
      </c>
      <c r="H406" s="10" t="s">
        <v>25</v>
      </c>
      <c r="I406" s="10" t="s">
        <v>1888</v>
      </c>
    </row>
    <row r="407" customFormat="false" ht="39" hidden="false" customHeight="true" outlineLevel="0" collapsed="false">
      <c r="A407" s="9" t="s">
        <v>1889</v>
      </c>
      <c r="B407" s="9" t="s">
        <v>1890</v>
      </c>
      <c r="C407" s="9" t="s">
        <v>1891</v>
      </c>
      <c r="D407" s="9" t="n">
        <v>2020</v>
      </c>
      <c r="E407" s="9" t="s">
        <v>32</v>
      </c>
      <c r="F407" s="9" t="s">
        <v>1892</v>
      </c>
      <c r="G407" s="9" t="s">
        <v>527</v>
      </c>
      <c r="H407" s="9" t="s">
        <v>25</v>
      </c>
      <c r="I407" s="9" t="s">
        <v>1893</v>
      </c>
    </row>
    <row r="408" customFormat="false" ht="39" hidden="false" customHeight="true" outlineLevel="0" collapsed="false">
      <c r="A408" s="10" t="s">
        <v>1894</v>
      </c>
      <c r="B408" s="10" t="s">
        <v>1895</v>
      </c>
      <c r="C408" s="10" t="s">
        <v>1896</v>
      </c>
      <c r="D408" s="10" t="n">
        <v>2020</v>
      </c>
      <c r="E408" s="10" t="s">
        <v>166</v>
      </c>
      <c r="F408" s="10" t="s">
        <v>1897</v>
      </c>
      <c r="G408" s="10" t="s">
        <v>527</v>
      </c>
      <c r="H408" s="10" t="s">
        <v>25</v>
      </c>
      <c r="I408" s="10" t="s">
        <v>1898</v>
      </c>
    </row>
    <row r="409" customFormat="false" ht="51.75" hidden="false" customHeight="true" outlineLevel="0" collapsed="false">
      <c r="A409" s="9" t="s">
        <v>1899</v>
      </c>
      <c r="B409" s="9" t="s">
        <v>1900</v>
      </c>
      <c r="C409" s="9" t="s">
        <v>1901</v>
      </c>
      <c r="D409" s="9" t="n">
        <v>2020</v>
      </c>
      <c r="E409" s="9" t="s">
        <v>1859</v>
      </c>
      <c r="F409" s="9"/>
      <c r="G409" s="9" t="s">
        <v>527</v>
      </c>
      <c r="H409" s="9" t="s">
        <v>25</v>
      </c>
      <c r="I409" s="9" t="s">
        <v>1902</v>
      </c>
    </row>
    <row r="410" customFormat="false" ht="51.75" hidden="false" customHeight="true" outlineLevel="0" collapsed="false">
      <c r="A410" s="10" t="s">
        <v>1903</v>
      </c>
      <c r="B410" s="10" t="s">
        <v>1904</v>
      </c>
      <c r="C410" s="10" t="s">
        <v>1905</v>
      </c>
      <c r="D410" s="10" t="n">
        <v>2020</v>
      </c>
      <c r="E410" s="10" t="s">
        <v>1859</v>
      </c>
      <c r="F410" s="10"/>
      <c r="G410" s="10" t="s">
        <v>527</v>
      </c>
      <c r="H410" s="10" t="s">
        <v>25</v>
      </c>
      <c r="I410" s="10" t="s">
        <v>1906</v>
      </c>
    </row>
    <row r="411" customFormat="false" ht="64.5" hidden="false" customHeight="true" outlineLevel="0" collapsed="false">
      <c r="A411" s="9" t="s">
        <v>1907</v>
      </c>
      <c r="B411" s="9" t="s">
        <v>1908</v>
      </c>
      <c r="C411" s="9" t="s">
        <v>1909</v>
      </c>
      <c r="D411" s="9" t="n">
        <v>2020</v>
      </c>
      <c r="E411" s="9" t="s">
        <v>1859</v>
      </c>
      <c r="F411" s="9"/>
      <c r="G411" s="9" t="s">
        <v>527</v>
      </c>
      <c r="H411" s="9" t="s">
        <v>25</v>
      </c>
      <c r="I411" s="9" t="s">
        <v>1910</v>
      </c>
    </row>
    <row r="412" customFormat="false" ht="51.75" hidden="false" customHeight="true" outlineLevel="0" collapsed="false">
      <c r="A412" s="10" t="s">
        <v>1911</v>
      </c>
      <c r="B412" s="10" t="s">
        <v>1912</v>
      </c>
      <c r="C412" s="10" t="s">
        <v>1913</v>
      </c>
      <c r="D412" s="10" t="n">
        <v>2020</v>
      </c>
      <c r="E412" s="10" t="s">
        <v>1859</v>
      </c>
      <c r="F412" s="10"/>
      <c r="G412" s="10" t="s">
        <v>527</v>
      </c>
      <c r="H412" s="10" t="s">
        <v>25</v>
      </c>
      <c r="I412" s="10" t="s">
        <v>1914</v>
      </c>
    </row>
    <row r="413" customFormat="false" ht="39" hidden="false" customHeight="true" outlineLevel="0" collapsed="false">
      <c r="A413" s="9" t="s">
        <v>1915</v>
      </c>
      <c r="B413" s="9" t="s">
        <v>1916</v>
      </c>
      <c r="C413" s="9" t="s">
        <v>1917</v>
      </c>
      <c r="D413" s="9" t="n">
        <v>2020</v>
      </c>
      <c r="E413" s="9" t="s">
        <v>32</v>
      </c>
      <c r="F413" s="9" t="s">
        <v>1918</v>
      </c>
      <c r="G413" s="9" t="s">
        <v>527</v>
      </c>
      <c r="H413" s="9" t="s">
        <v>25</v>
      </c>
      <c r="I413" s="9" t="s">
        <v>1919</v>
      </c>
    </row>
    <row r="414" customFormat="false" ht="39" hidden="false" customHeight="true" outlineLevel="0" collapsed="false">
      <c r="A414" s="10" t="s">
        <v>1920</v>
      </c>
      <c r="B414" s="10" t="s">
        <v>141</v>
      </c>
      <c r="C414" s="10" t="s">
        <v>140</v>
      </c>
      <c r="D414" s="10" t="n">
        <v>2020</v>
      </c>
      <c r="E414" s="10" t="s">
        <v>66</v>
      </c>
      <c r="F414" s="10" t="s">
        <v>142</v>
      </c>
      <c r="G414" s="10" t="s">
        <v>507</v>
      </c>
      <c r="H414" s="10" t="s">
        <v>25</v>
      </c>
      <c r="I414" s="10" t="s">
        <v>1921</v>
      </c>
    </row>
    <row r="415" customFormat="false" ht="39" hidden="false" customHeight="true" outlineLevel="0" collapsed="false">
      <c r="A415" s="9" t="s">
        <v>1920</v>
      </c>
      <c r="B415" s="9" t="s">
        <v>141</v>
      </c>
      <c r="C415" s="9" t="s">
        <v>140</v>
      </c>
      <c r="D415" s="9" t="n">
        <v>2020</v>
      </c>
      <c r="E415" s="9" t="s">
        <v>66</v>
      </c>
      <c r="F415" s="9" t="s">
        <v>142</v>
      </c>
      <c r="G415" s="9" t="s">
        <v>527</v>
      </c>
      <c r="H415" s="9" t="s">
        <v>25</v>
      </c>
      <c r="I415" s="9" t="s">
        <v>1921</v>
      </c>
    </row>
    <row r="416" customFormat="false" ht="39" hidden="false" customHeight="true" outlineLevel="0" collapsed="false">
      <c r="A416" s="10" t="s">
        <v>1922</v>
      </c>
      <c r="B416" s="10" t="s">
        <v>221</v>
      </c>
      <c r="C416" s="10" t="s">
        <v>220</v>
      </c>
      <c r="D416" s="10" t="n">
        <v>2020</v>
      </c>
      <c r="E416" s="10" t="s">
        <v>155</v>
      </c>
      <c r="F416" s="10" t="s">
        <v>222</v>
      </c>
      <c r="G416" s="10" t="s">
        <v>507</v>
      </c>
      <c r="H416" s="10" t="s">
        <v>25</v>
      </c>
      <c r="I416" s="10" t="s">
        <v>1923</v>
      </c>
    </row>
    <row r="417" customFormat="false" ht="39" hidden="false" customHeight="true" outlineLevel="0" collapsed="false">
      <c r="A417" s="9" t="s">
        <v>1922</v>
      </c>
      <c r="B417" s="9" t="s">
        <v>221</v>
      </c>
      <c r="C417" s="9" t="s">
        <v>220</v>
      </c>
      <c r="D417" s="9" t="n">
        <v>2020</v>
      </c>
      <c r="E417" s="9" t="s">
        <v>155</v>
      </c>
      <c r="F417" s="9" t="s">
        <v>222</v>
      </c>
      <c r="G417" s="9" t="s">
        <v>527</v>
      </c>
      <c r="H417" s="9" t="s">
        <v>25</v>
      </c>
      <c r="I417" s="9" t="s">
        <v>1923</v>
      </c>
    </row>
    <row r="418" customFormat="false" ht="51.75" hidden="false" customHeight="true" outlineLevel="0" collapsed="false">
      <c r="A418" s="10" t="s">
        <v>1924</v>
      </c>
      <c r="B418" s="10" t="s">
        <v>1925</v>
      </c>
      <c r="C418" s="10" t="s">
        <v>1926</v>
      </c>
      <c r="D418" s="10" t="n">
        <v>2020</v>
      </c>
      <c r="E418" s="10" t="s">
        <v>1859</v>
      </c>
      <c r="F418" s="10"/>
      <c r="G418" s="10" t="s">
        <v>527</v>
      </c>
      <c r="H418" s="10" t="s">
        <v>25</v>
      </c>
      <c r="I418" s="10" t="s">
        <v>1927</v>
      </c>
    </row>
    <row r="419" customFormat="false" ht="51.75" hidden="false" customHeight="true" outlineLevel="0" collapsed="false">
      <c r="A419" s="9" t="s">
        <v>1928</v>
      </c>
      <c r="B419" s="9" t="s">
        <v>1929</v>
      </c>
      <c r="C419" s="9" t="s">
        <v>1930</v>
      </c>
      <c r="D419" s="9" t="n">
        <v>2020</v>
      </c>
      <c r="E419" s="9" t="s">
        <v>145</v>
      </c>
      <c r="F419" s="9" t="s">
        <v>1931</v>
      </c>
      <c r="G419" s="9" t="s">
        <v>507</v>
      </c>
      <c r="H419" s="9" t="s">
        <v>25</v>
      </c>
      <c r="I419" s="9" t="s">
        <v>1932</v>
      </c>
    </row>
    <row r="420" customFormat="false" ht="51.75" hidden="false" customHeight="true" outlineLevel="0" collapsed="false">
      <c r="A420" s="10" t="s">
        <v>1928</v>
      </c>
      <c r="B420" s="10" t="s">
        <v>1929</v>
      </c>
      <c r="C420" s="10" t="s">
        <v>1930</v>
      </c>
      <c r="D420" s="10" t="n">
        <v>2020</v>
      </c>
      <c r="E420" s="10" t="s">
        <v>145</v>
      </c>
      <c r="F420" s="10" t="s">
        <v>1931</v>
      </c>
      <c r="G420" s="10" t="s">
        <v>527</v>
      </c>
      <c r="H420" s="10" t="s">
        <v>25</v>
      </c>
      <c r="I420" s="10" t="s">
        <v>1932</v>
      </c>
    </row>
    <row r="421" customFormat="false" ht="39" hidden="false" customHeight="true" outlineLevel="0" collapsed="false">
      <c r="A421" s="9" t="s">
        <v>1933</v>
      </c>
      <c r="B421" s="9" t="s">
        <v>1934</v>
      </c>
      <c r="C421" s="9" t="s">
        <v>1935</v>
      </c>
      <c r="D421" s="9" t="n">
        <v>2020</v>
      </c>
      <c r="E421" s="9" t="s">
        <v>32</v>
      </c>
      <c r="F421" s="9" t="s">
        <v>1936</v>
      </c>
      <c r="G421" s="9" t="s">
        <v>527</v>
      </c>
      <c r="H421" s="9" t="s">
        <v>25</v>
      </c>
      <c r="I421" s="9" t="s">
        <v>1937</v>
      </c>
    </row>
    <row r="422" customFormat="false" ht="51.75" hidden="false" customHeight="true" outlineLevel="0" collapsed="false">
      <c r="A422" s="10" t="s">
        <v>1938</v>
      </c>
      <c r="B422" s="10" t="s">
        <v>1939</v>
      </c>
      <c r="C422" s="10" t="s">
        <v>1940</v>
      </c>
      <c r="D422" s="10" t="n">
        <v>2020</v>
      </c>
      <c r="E422" s="10" t="s">
        <v>1859</v>
      </c>
      <c r="F422" s="10"/>
      <c r="G422" s="10" t="s">
        <v>527</v>
      </c>
      <c r="H422" s="10" t="s">
        <v>25</v>
      </c>
      <c r="I422" s="10" t="s">
        <v>1941</v>
      </c>
    </row>
    <row r="423" customFormat="false" ht="25.5" hidden="false" customHeight="true" outlineLevel="0" collapsed="false">
      <c r="A423" s="9" t="s">
        <v>1942</v>
      </c>
      <c r="B423" s="9" t="s">
        <v>1943</v>
      </c>
      <c r="C423" s="9" t="s">
        <v>1944</v>
      </c>
      <c r="D423" s="9" t="n">
        <v>2020</v>
      </c>
      <c r="E423" s="9" t="s">
        <v>1945</v>
      </c>
      <c r="F423" s="9" t="s">
        <v>1946</v>
      </c>
      <c r="G423" s="9" t="s">
        <v>527</v>
      </c>
      <c r="H423" s="9" t="s">
        <v>335</v>
      </c>
      <c r="I423" s="9" t="s">
        <v>1947</v>
      </c>
    </row>
    <row r="424" customFormat="false" ht="51.75" hidden="false" customHeight="true" outlineLevel="0" collapsed="false">
      <c r="A424" s="10" t="s">
        <v>1948</v>
      </c>
      <c r="B424" s="10" t="s">
        <v>1949</v>
      </c>
      <c r="C424" s="10" t="s">
        <v>1950</v>
      </c>
      <c r="D424" s="10" t="n">
        <v>2020</v>
      </c>
      <c r="E424" s="10" t="s">
        <v>1859</v>
      </c>
      <c r="F424" s="10"/>
      <c r="G424" s="10" t="s">
        <v>527</v>
      </c>
      <c r="H424" s="10" t="s">
        <v>25</v>
      </c>
      <c r="I424" s="10" t="s">
        <v>1951</v>
      </c>
    </row>
    <row r="425" customFormat="false" ht="64.5" hidden="false" customHeight="true" outlineLevel="0" collapsed="false">
      <c r="A425" s="9" t="s">
        <v>1952</v>
      </c>
      <c r="B425" s="9" t="s">
        <v>65</v>
      </c>
      <c r="C425" s="9" t="s">
        <v>64</v>
      </c>
      <c r="D425" s="9" t="n">
        <v>2020</v>
      </c>
      <c r="E425" s="9" t="s">
        <v>66</v>
      </c>
      <c r="F425" s="9" t="s">
        <v>67</v>
      </c>
      <c r="G425" s="9" t="s">
        <v>507</v>
      </c>
      <c r="H425" s="9" t="s">
        <v>25</v>
      </c>
      <c r="I425" s="9" t="s">
        <v>1953</v>
      </c>
    </row>
    <row r="426" customFormat="false" ht="64.5" hidden="false" customHeight="true" outlineLevel="0" collapsed="false">
      <c r="A426" s="10" t="s">
        <v>1952</v>
      </c>
      <c r="B426" s="10" t="s">
        <v>65</v>
      </c>
      <c r="C426" s="10" t="s">
        <v>64</v>
      </c>
      <c r="D426" s="10" t="n">
        <v>2020</v>
      </c>
      <c r="E426" s="10" t="s">
        <v>66</v>
      </c>
      <c r="F426" s="10" t="s">
        <v>67</v>
      </c>
      <c r="G426" s="10" t="s">
        <v>527</v>
      </c>
      <c r="H426" s="10" t="s">
        <v>25</v>
      </c>
      <c r="I426" s="10" t="s">
        <v>1953</v>
      </c>
    </row>
    <row r="427" customFormat="false" ht="39" hidden="false" customHeight="true" outlineLevel="0" collapsed="false">
      <c r="A427" s="9" t="s">
        <v>1954</v>
      </c>
      <c r="B427" s="9" t="s">
        <v>1955</v>
      </c>
      <c r="C427" s="9" t="s">
        <v>1956</v>
      </c>
      <c r="D427" s="9" t="n">
        <v>2020</v>
      </c>
      <c r="E427" s="9" t="s">
        <v>1957</v>
      </c>
      <c r="F427" s="9" t="s">
        <v>1958</v>
      </c>
      <c r="G427" s="9" t="s">
        <v>507</v>
      </c>
      <c r="H427" s="9" t="s">
        <v>25</v>
      </c>
      <c r="I427" s="9" t="s">
        <v>1959</v>
      </c>
    </row>
    <row r="428" customFormat="false" ht="39" hidden="false" customHeight="true" outlineLevel="0" collapsed="false">
      <c r="A428" s="10" t="s">
        <v>1954</v>
      </c>
      <c r="B428" s="10" t="s">
        <v>1955</v>
      </c>
      <c r="C428" s="10" t="s">
        <v>1956</v>
      </c>
      <c r="D428" s="10" t="n">
        <v>2020</v>
      </c>
      <c r="E428" s="10" t="s">
        <v>1957</v>
      </c>
      <c r="F428" s="10" t="s">
        <v>1958</v>
      </c>
      <c r="G428" s="10" t="s">
        <v>527</v>
      </c>
      <c r="H428" s="10" t="s">
        <v>25</v>
      </c>
      <c r="I428" s="10" t="s">
        <v>1959</v>
      </c>
    </row>
    <row r="429" customFormat="false" ht="39" hidden="false" customHeight="true" outlineLevel="0" collapsed="false">
      <c r="A429" s="9" t="s">
        <v>1960</v>
      </c>
      <c r="B429" s="9" t="s">
        <v>1961</v>
      </c>
      <c r="C429" s="9" t="s">
        <v>1962</v>
      </c>
      <c r="D429" s="9" t="n">
        <v>2020</v>
      </c>
      <c r="E429" s="9" t="s">
        <v>66</v>
      </c>
      <c r="F429" s="9" t="s">
        <v>1963</v>
      </c>
      <c r="G429" s="9" t="s">
        <v>507</v>
      </c>
      <c r="H429" s="9" t="s">
        <v>25</v>
      </c>
      <c r="I429" s="9" t="s">
        <v>1964</v>
      </c>
    </row>
    <row r="430" customFormat="false" ht="39" hidden="false" customHeight="true" outlineLevel="0" collapsed="false">
      <c r="A430" s="10" t="s">
        <v>1960</v>
      </c>
      <c r="B430" s="10" t="s">
        <v>1961</v>
      </c>
      <c r="C430" s="10" t="s">
        <v>1962</v>
      </c>
      <c r="D430" s="10" t="n">
        <v>2020</v>
      </c>
      <c r="E430" s="10" t="s">
        <v>66</v>
      </c>
      <c r="F430" s="10" t="s">
        <v>1963</v>
      </c>
      <c r="G430" s="10" t="s">
        <v>527</v>
      </c>
      <c r="H430" s="10" t="s">
        <v>25</v>
      </c>
      <c r="I430" s="10" t="s">
        <v>1964</v>
      </c>
    </row>
    <row r="431" customFormat="false" ht="39" hidden="false" customHeight="true" outlineLevel="0" collapsed="false">
      <c r="A431" s="9" t="s">
        <v>1965</v>
      </c>
      <c r="B431" s="9" t="s">
        <v>299</v>
      </c>
      <c r="C431" s="9" t="s">
        <v>298</v>
      </c>
      <c r="D431" s="9" t="n">
        <v>2020</v>
      </c>
      <c r="E431" s="9" t="s">
        <v>300</v>
      </c>
      <c r="F431" s="9"/>
      <c r="G431" s="9" t="s">
        <v>507</v>
      </c>
      <c r="H431" s="9" t="s">
        <v>25</v>
      </c>
      <c r="I431" s="9" t="s">
        <v>1966</v>
      </c>
    </row>
    <row r="432" customFormat="false" ht="39" hidden="false" customHeight="true" outlineLevel="0" collapsed="false">
      <c r="A432" s="10" t="s">
        <v>1965</v>
      </c>
      <c r="B432" s="10" t="s">
        <v>299</v>
      </c>
      <c r="C432" s="10" t="s">
        <v>298</v>
      </c>
      <c r="D432" s="10" t="n">
        <v>2020</v>
      </c>
      <c r="E432" s="10" t="s">
        <v>300</v>
      </c>
      <c r="F432" s="10"/>
      <c r="G432" s="10" t="s">
        <v>527</v>
      </c>
      <c r="H432" s="10" t="s">
        <v>25</v>
      </c>
      <c r="I432" s="10" t="s">
        <v>1966</v>
      </c>
    </row>
    <row r="433" customFormat="false" ht="51.75" hidden="false" customHeight="true" outlineLevel="0" collapsed="false">
      <c r="A433" s="9" t="s">
        <v>1967</v>
      </c>
      <c r="B433" s="9" t="s">
        <v>1968</v>
      </c>
      <c r="C433" s="9" t="s">
        <v>1969</v>
      </c>
      <c r="D433" s="9" t="n">
        <v>2020</v>
      </c>
      <c r="E433" s="9" t="s">
        <v>1859</v>
      </c>
      <c r="F433" s="9"/>
      <c r="G433" s="9" t="s">
        <v>527</v>
      </c>
      <c r="H433" s="9" t="s">
        <v>25</v>
      </c>
      <c r="I433" s="9" t="s">
        <v>1970</v>
      </c>
    </row>
    <row r="434" customFormat="false" ht="25.5" hidden="false" customHeight="true" outlineLevel="0" collapsed="false">
      <c r="A434" s="10" t="s">
        <v>1971</v>
      </c>
      <c r="B434" s="10" t="s">
        <v>1972</v>
      </c>
      <c r="C434" s="10" t="s">
        <v>1973</v>
      </c>
      <c r="D434" s="10" t="n">
        <v>2020</v>
      </c>
      <c r="E434" s="10" t="s">
        <v>58</v>
      </c>
      <c r="F434" s="10" t="s">
        <v>1974</v>
      </c>
      <c r="G434" s="10" t="s">
        <v>507</v>
      </c>
      <c r="H434" s="10" t="s">
        <v>25</v>
      </c>
      <c r="I434" s="10" t="s">
        <v>1975</v>
      </c>
    </row>
    <row r="435" customFormat="false" ht="25.5" hidden="false" customHeight="true" outlineLevel="0" collapsed="false">
      <c r="A435" s="9" t="s">
        <v>1971</v>
      </c>
      <c r="B435" s="9" t="s">
        <v>1972</v>
      </c>
      <c r="C435" s="9" t="s">
        <v>1973</v>
      </c>
      <c r="D435" s="9" t="n">
        <v>2020</v>
      </c>
      <c r="E435" s="9" t="s">
        <v>58</v>
      </c>
      <c r="F435" s="9" t="s">
        <v>1974</v>
      </c>
      <c r="G435" s="9" t="s">
        <v>527</v>
      </c>
      <c r="H435" s="9" t="s">
        <v>25</v>
      </c>
      <c r="I435" s="9" t="s">
        <v>1975</v>
      </c>
    </row>
    <row r="436" customFormat="false" ht="51.75" hidden="false" customHeight="true" outlineLevel="0" collapsed="false">
      <c r="A436" s="10" t="s">
        <v>1976</v>
      </c>
      <c r="B436" s="10" t="s">
        <v>1977</v>
      </c>
      <c r="C436" s="10" t="s">
        <v>1978</v>
      </c>
      <c r="D436" s="10" t="n">
        <v>2020</v>
      </c>
      <c r="E436" s="10" t="s">
        <v>1859</v>
      </c>
      <c r="F436" s="10"/>
      <c r="G436" s="10" t="s">
        <v>527</v>
      </c>
      <c r="H436" s="10" t="s">
        <v>25</v>
      </c>
      <c r="I436" s="10" t="s">
        <v>1979</v>
      </c>
    </row>
    <row r="437" customFormat="false" ht="39" hidden="false" customHeight="true" outlineLevel="0" collapsed="false">
      <c r="A437" s="9" t="s">
        <v>1980</v>
      </c>
      <c r="B437" s="9" t="s">
        <v>1981</v>
      </c>
      <c r="C437" s="9" t="s">
        <v>1982</v>
      </c>
      <c r="D437" s="9" t="n">
        <v>2020</v>
      </c>
      <c r="E437" s="9" t="s">
        <v>1983</v>
      </c>
      <c r="F437" s="9" t="s">
        <v>1984</v>
      </c>
      <c r="G437" s="9" t="s">
        <v>507</v>
      </c>
      <c r="H437" s="9" t="s">
        <v>514</v>
      </c>
      <c r="I437" s="9" t="s">
        <v>1985</v>
      </c>
    </row>
    <row r="438" customFormat="false" ht="39" hidden="false" customHeight="true" outlineLevel="0" collapsed="false">
      <c r="A438" s="10" t="s">
        <v>1980</v>
      </c>
      <c r="B438" s="10" t="s">
        <v>1981</v>
      </c>
      <c r="C438" s="10" t="s">
        <v>1982</v>
      </c>
      <c r="D438" s="10" t="n">
        <v>2020</v>
      </c>
      <c r="E438" s="10" t="s">
        <v>1983</v>
      </c>
      <c r="F438" s="10" t="s">
        <v>1984</v>
      </c>
      <c r="G438" s="10" t="s">
        <v>527</v>
      </c>
      <c r="H438" s="10" t="s">
        <v>514</v>
      </c>
      <c r="I438" s="10" t="s">
        <v>1985</v>
      </c>
    </row>
    <row r="439" customFormat="false" ht="39" hidden="false" customHeight="true" outlineLevel="0" collapsed="false">
      <c r="A439" s="9" t="s">
        <v>1986</v>
      </c>
      <c r="B439" s="9" t="s">
        <v>1987</v>
      </c>
      <c r="C439" s="9" t="s">
        <v>1988</v>
      </c>
      <c r="D439" s="9" t="n">
        <v>2020</v>
      </c>
      <c r="E439" s="9" t="s">
        <v>1018</v>
      </c>
      <c r="F439" s="9" t="s">
        <v>1989</v>
      </c>
      <c r="G439" s="9" t="s">
        <v>507</v>
      </c>
      <c r="H439" s="9" t="s">
        <v>335</v>
      </c>
      <c r="I439" s="9" t="s">
        <v>1990</v>
      </c>
    </row>
    <row r="440" customFormat="false" ht="25.5" hidden="false" customHeight="true" outlineLevel="0" collapsed="false">
      <c r="A440" s="10" t="s">
        <v>1991</v>
      </c>
      <c r="B440" s="10" t="s">
        <v>1992</v>
      </c>
      <c r="C440" s="10" t="s">
        <v>1993</v>
      </c>
      <c r="D440" s="10" t="n">
        <v>2020</v>
      </c>
      <c r="E440" s="10" t="s">
        <v>268</v>
      </c>
      <c r="F440" s="10" t="s">
        <v>1994</v>
      </c>
      <c r="G440" s="10" t="s">
        <v>527</v>
      </c>
      <c r="H440" s="10" t="s">
        <v>25</v>
      </c>
      <c r="I440" s="10" t="s">
        <v>1995</v>
      </c>
    </row>
    <row r="441" customFormat="false" ht="51.75" hidden="false" customHeight="true" outlineLevel="0" collapsed="false">
      <c r="A441" s="9" t="s">
        <v>1996</v>
      </c>
      <c r="B441" s="9" t="s">
        <v>1997</v>
      </c>
      <c r="C441" s="9" t="s">
        <v>1998</v>
      </c>
      <c r="D441" s="9" t="n">
        <v>2020</v>
      </c>
      <c r="E441" s="9" t="s">
        <v>1859</v>
      </c>
      <c r="F441" s="9"/>
      <c r="G441" s="9" t="s">
        <v>527</v>
      </c>
      <c r="H441" s="9" t="s">
        <v>25</v>
      </c>
      <c r="I441" s="9" t="s">
        <v>1999</v>
      </c>
    </row>
    <row r="442" customFormat="false" ht="51.75" hidden="false" customHeight="true" outlineLevel="0" collapsed="false">
      <c r="A442" s="10" t="s">
        <v>2000</v>
      </c>
      <c r="B442" s="10" t="s">
        <v>2001</v>
      </c>
      <c r="C442" s="10" t="s">
        <v>2002</v>
      </c>
      <c r="D442" s="10" t="n">
        <v>2020</v>
      </c>
      <c r="E442" s="10" t="s">
        <v>1859</v>
      </c>
      <c r="F442" s="10"/>
      <c r="G442" s="10" t="s">
        <v>527</v>
      </c>
      <c r="H442" s="10" t="s">
        <v>25</v>
      </c>
      <c r="I442" s="10" t="s">
        <v>2003</v>
      </c>
    </row>
    <row r="443" customFormat="false" ht="25.5" hidden="false" customHeight="true" outlineLevel="0" collapsed="false">
      <c r="A443" s="9" t="s">
        <v>2004</v>
      </c>
      <c r="B443" s="9" t="s">
        <v>356</v>
      </c>
      <c r="C443" s="9" t="s">
        <v>355</v>
      </c>
      <c r="D443" s="9" t="n">
        <v>2020</v>
      </c>
      <c r="E443" s="9" t="s">
        <v>357</v>
      </c>
      <c r="F443" s="9" t="s">
        <v>358</v>
      </c>
      <c r="G443" s="9" t="s">
        <v>527</v>
      </c>
      <c r="H443" s="9" t="s">
        <v>25</v>
      </c>
      <c r="I443" s="9" t="s">
        <v>2005</v>
      </c>
    </row>
    <row r="444" customFormat="false" ht="25.5" hidden="false" customHeight="true" outlineLevel="0" collapsed="false">
      <c r="A444" s="10" t="s">
        <v>2006</v>
      </c>
      <c r="B444" s="10" t="s">
        <v>2007</v>
      </c>
      <c r="C444" s="10" t="s">
        <v>2008</v>
      </c>
      <c r="D444" s="10" t="n">
        <v>2020</v>
      </c>
      <c r="E444" s="10" t="s">
        <v>145</v>
      </c>
      <c r="F444" s="10" t="s">
        <v>2009</v>
      </c>
      <c r="G444" s="10" t="s">
        <v>527</v>
      </c>
      <c r="H444" s="10" t="s">
        <v>25</v>
      </c>
      <c r="I444" s="10" t="s">
        <v>2010</v>
      </c>
    </row>
    <row r="445" customFormat="false" ht="51.75" hidden="false" customHeight="true" outlineLevel="0" collapsed="false">
      <c r="A445" s="9" t="s">
        <v>2011</v>
      </c>
      <c r="B445" s="9" t="s">
        <v>2012</v>
      </c>
      <c r="C445" s="9" t="s">
        <v>2013</v>
      </c>
      <c r="D445" s="9" t="n">
        <v>2020</v>
      </c>
      <c r="E445" s="9" t="s">
        <v>2014</v>
      </c>
      <c r="F445" s="9"/>
      <c r="G445" s="9" t="s">
        <v>527</v>
      </c>
      <c r="H445" s="9" t="s">
        <v>25</v>
      </c>
      <c r="I445" s="9" t="s">
        <v>2015</v>
      </c>
    </row>
    <row r="446" customFormat="false" ht="25.5" hidden="false" customHeight="true" outlineLevel="0" collapsed="false">
      <c r="A446" s="10" t="s">
        <v>2016</v>
      </c>
      <c r="B446" s="10" t="s">
        <v>2017</v>
      </c>
      <c r="C446" s="10" t="s">
        <v>2018</v>
      </c>
      <c r="D446" s="10" t="n">
        <v>2020</v>
      </c>
      <c r="E446" s="10" t="s">
        <v>865</v>
      </c>
      <c r="F446" s="10" t="s">
        <v>2019</v>
      </c>
      <c r="G446" s="10" t="s">
        <v>507</v>
      </c>
      <c r="H446" s="10" t="s">
        <v>25</v>
      </c>
      <c r="I446" s="10" t="s">
        <v>2020</v>
      </c>
    </row>
    <row r="447" customFormat="false" ht="25.5" hidden="false" customHeight="true" outlineLevel="0" collapsed="false">
      <c r="A447" s="9" t="s">
        <v>2021</v>
      </c>
      <c r="B447" s="9" t="s">
        <v>2022</v>
      </c>
      <c r="C447" s="9" t="s">
        <v>2023</v>
      </c>
      <c r="D447" s="9" t="n">
        <v>2020</v>
      </c>
      <c r="E447" s="9" t="s">
        <v>2024</v>
      </c>
      <c r="F447" s="9" t="s">
        <v>2025</v>
      </c>
      <c r="G447" s="9" t="s">
        <v>507</v>
      </c>
      <c r="H447" s="9" t="s">
        <v>25</v>
      </c>
      <c r="I447" s="9" t="s">
        <v>2026</v>
      </c>
    </row>
    <row r="448" customFormat="false" ht="25.5" hidden="false" customHeight="true" outlineLevel="0" collapsed="false">
      <c r="A448" s="10" t="s">
        <v>2021</v>
      </c>
      <c r="B448" s="10" t="s">
        <v>2022</v>
      </c>
      <c r="C448" s="10" t="s">
        <v>2023</v>
      </c>
      <c r="D448" s="10" t="n">
        <v>2020</v>
      </c>
      <c r="E448" s="10" t="s">
        <v>2024</v>
      </c>
      <c r="F448" s="10" t="s">
        <v>2025</v>
      </c>
      <c r="G448" s="10" t="s">
        <v>527</v>
      </c>
      <c r="H448" s="10" t="s">
        <v>25</v>
      </c>
      <c r="I448" s="10" t="s">
        <v>2026</v>
      </c>
    </row>
    <row r="449" customFormat="false" ht="39" hidden="false" customHeight="true" outlineLevel="0" collapsed="false">
      <c r="A449" s="9" t="s">
        <v>2027</v>
      </c>
      <c r="B449" s="9" t="s">
        <v>2028</v>
      </c>
      <c r="C449" s="9" t="s">
        <v>2029</v>
      </c>
      <c r="D449" s="9" t="n">
        <v>2020</v>
      </c>
      <c r="E449" s="9" t="s">
        <v>2030</v>
      </c>
      <c r="F449" s="9"/>
      <c r="G449" s="9" t="s">
        <v>507</v>
      </c>
      <c r="H449" s="9" t="s">
        <v>25</v>
      </c>
      <c r="I449" s="9" t="s">
        <v>2031</v>
      </c>
    </row>
    <row r="450" customFormat="false" ht="39" hidden="false" customHeight="true" outlineLevel="0" collapsed="false">
      <c r="A450" s="10" t="s">
        <v>2027</v>
      </c>
      <c r="B450" s="10" t="s">
        <v>2028</v>
      </c>
      <c r="C450" s="10" t="s">
        <v>2029</v>
      </c>
      <c r="D450" s="10" t="n">
        <v>2020</v>
      </c>
      <c r="E450" s="10" t="s">
        <v>2030</v>
      </c>
      <c r="F450" s="10"/>
      <c r="G450" s="10" t="s">
        <v>527</v>
      </c>
      <c r="H450" s="10" t="s">
        <v>25</v>
      </c>
      <c r="I450" s="10" t="s">
        <v>2031</v>
      </c>
    </row>
    <row r="451" customFormat="false" ht="39" hidden="false" customHeight="true" outlineLevel="0" collapsed="false">
      <c r="A451" s="9" t="s">
        <v>2032</v>
      </c>
      <c r="B451" s="9" t="s">
        <v>337</v>
      </c>
      <c r="C451" s="9" t="s">
        <v>336</v>
      </c>
      <c r="D451" s="9" t="n">
        <v>2020</v>
      </c>
      <c r="E451" s="9" t="s">
        <v>338</v>
      </c>
      <c r="F451" s="9" t="s">
        <v>339</v>
      </c>
      <c r="G451" s="9" t="s">
        <v>507</v>
      </c>
      <c r="H451" s="9" t="s">
        <v>25</v>
      </c>
      <c r="I451" s="9" t="s">
        <v>2033</v>
      </c>
    </row>
    <row r="452" customFormat="false" ht="39" hidden="false" customHeight="true" outlineLevel="0" collapsed="false">
      <c r="A452" s="10" t="s">
        <v>2032</v>
      </c>
      <c r="B452" s="10" t="s">
        <v>337</v>
      </c>
      <c r="C452" s="10" t="s">
        <v>336</v>
      </c>
      <c r="D452" s="10" t="n">
        <v>2020</v>
      </c>
      <c r="E452" s="10" t="s">
        <v>338</v>
      </c>
      <c r="F452" s="10" t="s">
        <v>339</v>
      </c>
      <c r="G452" s="10" t="s">
        <v>527</v>
      </c>
      <c r="H452" s="10" t="s">
        <v>25</v>
      </c>
      <c r="I452" s="10" t="s">
        <v>2033</v>
      </c>
    </row>
    <row r="453" customFormat="false" ht="25.5" hidden="false" customHeight="true" outlineLevel="0" collapsed="false">
      <c r="A453" s="9" t="s">
        <v>2034</v>
      </c>
      <c r="B453" s="9" t="s">
        <v>2035</v>
      </c>
      <c r="C453" s="9" t="s">
        <v>2036</v>
      </c>
      <c r="D453" s="9" t="n">
        <v>2019</v>
      </c>
      <c r="E453" s="9" t="s">
        <v>107</v>
      </c>
      <c r="F453" s="9" t="s">
        <v>2037</v>
      </c>
      <c r="G453" s="9" t="s">
        <v>507</v>
      </c>
      <c r="H453" s="9" t="s">
        <v>25</v>
      </c>
      <c r="I453" s="9" t="s">
        <v>2038</v>
      </c>
    </row>
    <row r="454" customFormat="false" ht="25.5" hidden="false" customHeight="true" outlineLevel="0" collapsed="false">
      <c r="A454" s="10" t="s">
        <v>2034</v>
      </c>
      <c r="B454" s="10" t="s">
        <v>2035</v>
      </c>
      <c r="C454" s="10" t="s">
        <v>2036</v>
      </c>
      <c r="D454" s="10" t="n">
        <v>2019</v>
      </c>
      <c r="E454" s="10" t="s">
        <v>107</v>
      </c>
      <c r="F454" s="10" t="s">
        <v>2037</v>
      </c>
      <c r="G454" s="10" t="s">
        <v>527</v>
      </c>
      <c r="H454" s="10" t="s">
        <v>25</v>
      </c>
      <c r="I454" s="10" t="s">
        <v>2038</v>
      </c>
    </row>
    <row r="455" customFormat="false" ht="51.75" hidden="false" customHeight="true" outlineLevel="0" collapsed="false">
      <c r="A455" s="9" t="s">
        <v>2039</v>
      </c>
      <c r="B455" s="9" t="s">
        <v>2040</v>
      </c>
      <c r="C455" s="9" t="s">
        <v>2041</v>
      </c>
      <c r="D455" s="9" t="n">
        <v>2019</v>
      </c>
      <c r="E455" s="9" t="s">
        <v>727</v>
      </c>
      <c r="F455" s="9" t="s">
        <v>2042</v>
      </c>
      <c r="G455" s="9" t="s">
        <v>527</v>
      </c>
      <c r="H455" s="9" t="s">
        <v>335</v>
      </c>
      <c r="I455" s="9" t="s">
        <v>2043</v>
      </c>
    </row>
    <row r="456" customFormat="false" ht="25.5" hidden="false" customHeight="true" outlineLevel="0" collapsed="false">
      <c r="A456" s="10" t="s">
        <v>2044</v>
      </c>
      <c r="B456" s="10" t="s">
        <v>2045</v>
      </c>
      <c r="C456" s="10" t="s">
        <v>2046</v>
      </c>
      <c r="D456" s="10" t="n">
        <v>2019</v>
      </c>
      <c r="E456" s="10" t="s">
        <v>2047</v>
      </c>
      <c r="F456" s="10" t="s">
        <v>2048</v>
      </c>
      <c r="G456" s="10" t="s">
        <v>527</v>
      </c>
      <c r="H456" s="10" t="s">
        <v>25</v>
      </c>
      <c r="I456" s="10" t="s">
        <v>2049</v>
      </c>
    </row>
    <row r="457" customFormat="false" ht="64.5" hidden="false" customHeight="true" outlineLevel="0" collapsed="false">
      <c r="A457" s="9" t="s">
        <v>2050</v>
      </c>
      <c r="B457" s="9" t="s">
        <v>2051</v>
      </c>
      <c r="C457" s="9" t="s">
        <v>2052</v>
      </c>
      <c r="D457" s="9" t="n">
        <v>2019</v>
      </c>
      <c r="E457" s="9" t="s">
        <v>107</v>
      </c>
      <c r="F457" s="9" t="s">
        <v>2053</v>
      </c>
      <c r="G457" s="9" t="s">
        <v>507</v>
      </c>
      <c r="H457" s="9" t="s">
        <v>25</v>
      </c>
      <c r="I457" s="9" t="s">
        <v>2054</v>
      </c>
    </row>
    <row r="458" customFormat="false" ht="64.5" hidden="false" customHeight="true" outlineLevel="0" collapsed="false">
      <c r="A458" s="10" t="s">
        <v>2050</v>
      </c>
      <c r="B458" s="10" t="s">
        <v>2051</v>
      </c>
      <c r="C458" s="10" t="s">
        <v>2052</v>
      </c>
      <c r="D458" s="10" t="n">
        <v>2019</v>
      </c>
      <c r="E458" s="10" t="s">
        <v>107</v>
      </c>
      <c r="F458" s="10" t="s">
        <v>2053</v>
      </c>
      <c r="G458" s="10" t="s">
        <v>527</v>
      </c>
      <c r="H458" s="10" t="s">
        <v>25</v>
      </c>
      <c r="I458" s="10" t="s">
        <v>2054</v>
      </c>
    </row>
    <row r="459" customFormat="false" ht="25.5" hidden="false" customHeight="true" outlineLevel="0" collapsed="false">
      <c r="A459" s="9" t="s">
        <v>2055</v>
      </c>
      <c r="B459" s="9" t="s">
        <v>2056</v>
      </c>
      <c r="C459" s="9" t="s">
        <v>2057</v>
      </c>
      <c r="D459" s="9" t="n">
        <v>2019</v>
      </c>
      <c r="E459" s="9" t="s">
        <v>2058</v>
      </c>
      <c r="F459" s="9" t="s">
        <v>2059</v>
      </c>
      <c r="G459" s="9" t="s">
        <v>507</v>
      </c>
      <c r="H459" s="9" t="s">
        <v>25</v>
      </c>
      <c r="I459" s="9" t="s">
        <v>2060</v>
      </c>
    </row>
    <row r="460" customFormat="false" ht="39" hidden="false" customHeight="true" outlineLevel="0" collapsed="false">
      <c r="A460" s="10" t="s">
        <v>2061</v>
      </c>
      <c r="B460" s="10" t="s">
        <v>1869</v>
      </c>
      <c r="C460" s="10" t="s">
        <v>2062</v>
      </c>
      <c r="D460" s="10" t="n">
        <v>2019</v>
      </c>
      <c r="E460" s="10" t="s">
        <v>107</v>
      </c>
      <c r="F460" s="10" t="s">
        <v>2063</v>
      </c>
      <c r="G460" s="10" t="s">
        <v>527</v>
      </c>
      <c r="H460" s="10" t="s">
        <v>25</v>
      </c>
      <c r="I460" s="10" t="s">
        <v>1872</v>
      </c>
    </row>
    <row r="461" customFormat="false" ht="25.5" hidden="false" customHeight="true" outlineLevel="0" collapsed="false">
      <c r="A461" s="9" t="s">
        <v>2064</v>
      </c>
      <c r="B461" s="9" t="s">
        <v>2065</v>
      </c>
      <c r="C461" s="9" t="s">
        <v>2066</v>
      </c>
      <c r="D461" s="9" t="n">
        <v>2019</v>
      </c>
      <c r="E461" s="9" t="s">
        <v>1272</v>
      </c>
      <c r="F461" s="9" t="s">
        <v>2067</v>
      </c>
      <c r="G461" s="9" t="s">
        <v>507</v>
      </c>
      <c r="H461" s="9" t="s">
        <v>514</v>
      </c>
      <c r="I461" s="9" t="s">
        <v>2068</v>
      </c>
    </row>
    <row r="462" customFormat="false" ht="25.5" hidden="false" customHeight="true" outlineLevel="0" collapsed="false">
      <c r="A462" s="10" t="s">
        <v>2064</v>
      </c>
      <c r="B462" s="10" t="s">
        <v>2065</v>
      </c>
      <c r="C462" s="10" t="s">
        <v>2066</v>
      </c>
      <c r="D462" s="10" t="n">
        <v>2019</v>
      </c>
      <c r="E462" s="10" t="s">
        <v>1272</v>
      </c>
      <c r="F462" s="10" t="s">
        <v>2067</v>
      </c>
      <c r="G462" s="10" t="s">
        <v>527</v>
      </c>
      <c r="H462" s="10" t="s">
        <v>514</v>
      </c>
      <c r="I462" s="10" t="s">
        <v>2068</v>
      </c>
    </row>
    <row r="463" customFormat="false" ht="51.75" hidden="false" customHeight="true" outlineLevel="0" collapsed="false">
      <c r="A463" s="9" t="s">
        <v>2069</v>
      </c>
      <c r="B463" s="9" t="s">
        <v>2070</v>
      </c>
      <c r="C463" s="9" t="s">
        <v>2071</v>
      </c>
      <c r="D463" s="9" t="n">
        <v>2019</v>
      </c>
      <c r="E463" s="9" t="s">
        <v>986</v>
      </c>
      <c r="F463" s="9" t="s">
        <v>2072</v>
      </c>
      <c r="G463" s="9" t="s">
        <v>527</v>
      </c>
      <c r="H463" s="9" t="s">
        <v>25</v>
      </c>
      <c r="I463" s="9" t="s">
        <v>2073</v>
      </c>
    </row>
    <row r="464" customFormat="false" ht="51.75" hidden="false" customHeight="true" outlineLevel="0" collapsed="false">
      <c r="A464" s="10" t="s">
        <v>2074</v>
      </c>
      <c r="B464" s="10" t="s">
        <v>2075</v>
      </c>
      <c r="C464" s="10" t="s">
        <v>2076</v>
      </c>
      <c r="D464" s="10" t="n">
        <v>2019</v>
      </c>
      <c r="E464" s="10" t="s">
        <v>288</v>
      </c>
      <c r="F464" s="10" t="s">
        <v>2077</v>
      </c>
      <c r="G464" s="10" t="s">
        <v>507</v>
      </c>
      <c r="H464" s="10" t="s">
        <v>25</v>
      </c>
      <c r="I464" s="10" t="s">
        <v>2078</v>
      </c>
    </row>
    <row r="465" customFormat="false" ht="25.5" hidden="false" customHeight="true" outlineLevel="0" collapsed="false">
      <c r="A465" s="9" t="s">
        <v>2079</v>
      </c>
      <c r="B465" s="9" t="s">
        <v>2080</v>
      </c>
      <c r="C465" s="9" t="s">
        <v>2081</v>
      </c>
      <c r="D465" s="9" t="n">
        <v>2019</v>
      </c>
      <c r="E465" s="9" t="s">
        <v>107</v>
      </c>
      <c r="F465" s="9" t="s">
        <v>2082</v>
      </c>
      <c r="G465" s="9" t="s">
        <v>507</v>
      </c>
      <c r="H465" s="9" t="s">
        <v>25</v>
      </c>
      <c r="I465" s="9" t="s">
        <v>2083</v>
      </c>
    </row>
    <row r="466" customFormat="false" ht="25.5" hidden="false" customHeight="true" outlineLevel="0" collapsed="false">
      <c r="A466" s="10" t="s">
        <v>2079</v>
      </c>
      <c r="B466" s="10" t="s">
        <v>2080</v>
      </c>
      <c r="C466" s="10" t="s">
        <v>2081</v>
      </c>
      <c r="D466" s="10" t="n">
        <v>2019</v>
      </c>
      <c r="E466" s="10" t="s">
        <v>107</v>
      </c>
      <c r="F466" s="10" t="s">
        <v>2082</v>
      </c>
      <c r="G466" s="10" t="s">
        <v>527</v>
      </c>
      <c r="H466" s="10" t="s">
        <v>25</v>
      </c>
      <c r="I466" s="10" t="s">
        <v>2083</v>
      </c>
    </row>
    <row r="467" customFormat="false" ht="25.5" hidden="false" customHeight="true" outlineLevel="0" collapsed="false">
      <c r="A467" s="9" t="s">
        <v>2084</v>
      </c>
      <c r="B467" s="9" t="s">
        <v>264</v>
      </c>
      <c r="C467" s="9" t="s">
        <v>263</v>
      </c>
      <c r="D467" s="9" t="n">
        <v>2019</v>
      </c>
      <c r="E467" s="9" t="s">
        <v>32</v>
      </c>
      <c r="F467" s="9" t="s">
        <v>265</v>
      </c>
      <c r="G467" s="9" t="s">
        <v>507</v>
      </c>
      <c r="H467" s="9" t="s">
        <v>25</v>
      </c>
      <c r="I467" s="9" t="s">
        <v>2085</v>
      </c>
    </row>
    <row r="468" customFormat="false" ht="25.5" hidden="false" customHeight="true" outlineLevel="0" collapsed="false">
      <c r="A468" s="10" t="s">
        <v>2084</v>
      </c>
      <c r="B468" s="10" t="s">
        <v>264</v>
      </c>
      <c r="C468" s="10" t="s">
        <v>263</v>
      </c>
      <c r="D468" s="10" t="n">
        <v>2019</v>
      </c>
      <c r="E468" s="10" t="s">
        <v>32</v>
      </c>
      <c r="F468" s="10" t="s">
        <v>265</v>
      </c>
      <c r="G468" s="10" t="s">
        <v>527</v>
      </c>
      <c r="H468" s="10" t="s">
        <v>25</v>
      </c>
      <c r="I468" s="10" t="s">
        <v>2085</v>
      </c>
    </row>
    <row r="469" customFormat="false" ht="39" hidden="false" customHeight="true" outlineLevel="0" collapsed="false">
      <c r="A469" s="9" t="s">
        <v>2086</v>
      </c>
      <c r="B469" s="9" t="s">
        <v>2087</v>
      </c>
      <c r="C469" s="9" t="s">
        <v>2088</v>
      </c>
      <c r="D469" s="9" t="n">
        <v>2019</v>
      </c>
      <c r="E469" s="9" t="s">
        <v>954</v>
      </c>
      <c r="F469" s="9" t="s">
        <v>2089</v>
      </c>
      <c r="G469" s="9" t="s">
        <v>507</v>
      </c>
      <c r="H469" s="9" t="s">
        <v>25</v>
      </c>
      <c r="I469" s="9" t="s">
        <v>2090</v>
      </c>
    </row>
    <row r="470" customFormat="false" ht="39" hidden="false" customHeight="true" outlineLevel="0" collapsed="false">
      <c r="A470" s="10" t="s">
        <v>2086</v>
      </c>
      <c r="B470" s="10" t="s">
        <v>2087</v>
      </c>
      <c r="C470" s="10" t="s">
        <v>2088</v>
      </c>
      <c r="D470" s="10" t="n">
        <v>2019</v>
      </c>
      <c r="E470" s="10" t="s">
        <v>954</v>
      </c>
      <c r="F470" s="10" t="s">
        <v>2089</v>
      </c>
      <c r="G470" s="10" t="s">
        <v>527</v>
      </c>
      <c r="H470" s="10" t="s">
        <v>25</v>
      </c>
      <c r="I470" s="10" t="s">
        <v>2090</v>
      </c>
    </row>
    <row r="471" customFormat="false" ht="39" hidden="false" customHeight="true" outlineLevel="0" collapsed="false">
      <c r="A471" s="9" t="s">
        <v>2091</v>
      </c>
      <c r="B471" s="9" t="s">
        <v>2087</v>
      </c>
      <c r="C471" s="9" t="s">
        <v>2092</v>
      </c>
      <c r="D471" s="9" t="n">
        <v>2019</v>
      </c>
      <c r="E471" s="9" t="s">
        <v>958</v>
      </c>
      <c r="F471" s="9"/>
      <c r="G471" s="9" t="s">
        <v>507</v>
      </c>
      <c r="H471" s="9" t="s">
        <v>25</v>
      </c>
      <c r="I471" s="9" t="s">
        <v>2093</v>
      </c>
    </row>
    <row r="472" customFormat="false" ht="39" hidden="false" customHeight="true" outlineLevel="0" collapsed="false">
      <c r="A472" s="10" t="s">
        <v>2091</v>
      </c>
      <c r="B472" s="10" t="s">
        <v>2087</v>
      </c>
      <c r="C472" s="10" t="s">
        <v>2092</v>
      </c>
      <c r="D472" s="10" t="n">
        <v>2019</v>
      </c>
      <c r="E472" s="10" t="s">
        <v>958</v>
      </c>
      <c r="F472" s="10"/>
      <c r="G472" s="10" t="s">
        <v>527</v>
      </c>
      <c r="H472" s="10" t="s">
        <v>25</v>
      </c>
      <c r="I472" s="10" t="s">
        <v>2093</v>
      </c>
    </row>
    <row r="473" customFormat="false" ht="39" hidden="false" customHeight="true" outlineLevel="0" collapsed="false">
      <c r="A473" s="9" t="s">
        <v>2094</v>
      </c>
      <c r="B473" s="9" t="s">
        <v>2095</v>
      </c>
      <c r="C473" s="9" t="s">
        <v>2096</v>
      </c>
      <c r="D473" s="9" t="n">
        <v>2019</v>
      </c>
      <c r="E473" s="9" t="s">
        <v>32</v>
      </c>
      <c r="F473" s="9" t="s">
        <v>2097</v>
      </c>
      <c r="G473" s="9" t="s">
        <v>527</v>
      </c>
      <c r="H473" s="9" t="s">
        <v>25</v>
      </c>
      <c r="I473" s="9" t="s">
        <v>2098</v>
      </c>
    </row>
    <row r="474" customFormat="false" ht="64.5" hidden="false" customHeight="true" outlineLevel="0" collapsed="false">
      <c r="A474" s="10" t="s">
        <v>2099</v>
      </c>
      <c r="B474" s="10" t="s">
        <v>2100</v>
      </c>
      <c r="C474" s="10" t="s">
        <v>2101</v>
      </c>
      <c r="D474" s="10" t="n">
        <v>2019</v>
      </c>
      <c r="E474" s="10" t="s">
        <v>2102</v>
      </c>
      <c r="F474" s="10"/>
      <c r="G474" s="10" t="s">
        <v>527</v>
      </c>
      <c r="H474" s="10" t="s">
        <v>25</v>
      </c>
      <c r="I474" s="10" t="s">
        <v>2103</v>
      </c>
    </row>
    <row r="475" customFormat="false" ht="25.5" hidden="false" customHeight="true" outlineLevel="0" collapsed="false">
      <c r="A475" s="9" t="s">
        <v>2104</v>
      </c>
      <c r="B475" s="9" t="s">
        <v>2105</v>
      </c>
      <c r="C475" s="9" t="s">
        <v>2106</v>
      </c>
      <c r="D475" s="9" t="n">
        <v>2019</v>
      </c>
      <c r="E475" s="9" t="s">
        <v>81</v>
      </c>
      <c r="F475" s="9" t="s">
        <v>2107</v>
      </c>
      <c r="G475" s="9" t="s">
        <v>507</v>
      </c>
      <c r="H475" s="9" t="s">
        <v>25</v>
      </c>
      <c r="I475" s="9" t="s">
        <v>2108</v>
      </c>
    </row>
    <row r="476" customFormat="false" ht="25.5" hidden="false" customHeight="true" outlineLevel="0" collapsed="false">
      <c r="A476" s="10" t="s">
        <v>2104</v>
      </c>
      <c r="B476" s="10" t="s">
        <v>2105</v>
      </c>
      <c r="C476" s="10" t="s">
        <v>2106</v>
      </c>
      <c r="D476" s="10" t="n">
        <v>2019</v>
      </c>
      <c r="E476" s="10" t="s">
        <v>81</v>
      </c>
      <c r="F476" s="10" t="s">
        <v>2107</v>
      </c>
      <c r="G476" s="10" t="s">
        <v>527</v>
      </c>
      <c r="H476" s="10" t="s">
        <v>25</v>
      </c>
      <c r="I476" s="10" t="s">
        <v>2108</v>
      </c>
    </row>
    <row r="477" customFormat="false" ht="51.75" hidden="false" customHeight="true" outlineLevel="0" collapsed="false">
      <c r="A477" s="9" t="s">
        <v>2109</v>
      </c>
      <c r="B477" s="9" t="s">
        <v>2110</v>
      </c>
      <c r="C477" s="9" t="s">
        <v>2111</v>
      </c>
      <c r="D477" s="9" t="n">
        <v>2019</v>
      </c>
      <c r="E477" s="9" t="s">
        <v>2112</v>
      </c>
      <c r="F477" s="9" t="s">
        <v>2113</v>
      </c>
      <c r="G477" s="9" t="s">
        <v>527</v>
      </c>
      <c r="H477" s="9" t="s">
        <v>25</v>
      </c>
      <c r="I477" s="9" t="s">
        <v>2114</v>
      </c>
    </row>
    <row r="478" customFormat="false" ht="25.5" hidden="false" customHeight="true" outlineLevel="0" collapsed="false">
      <c r="A478" s="10" t="s">
        <v>2115</v>
      </c>
      <c r="B478" s="10" t="s">
        <v>2116</v>
      </c>
      <c r="C478" s="10" t="s">
        <v>2117</v>
      </c>
      <c r="D478" s="10" t="n">
        <v>2019</v>
      </c>
      <c r="E478" s="10" t="s">
        <v>2118</v>
      </c>
      <c r="F478" s="10" t="s">
        <v>2119</v>
      </c>
      <c r="G478" s="10" t="s">
        <v>527</v>
      </c>
      <c r="H478" s="10" t="s">
        <v>25</v>
      </c>
      <c r="I478" s="10" t="s">
        <v>2120</v>
      </c>
    </row>
    <row r="479" customFormat="false" ht="39" hidden="false" customHeight="true" outlineLevel="0" collapsed="false">
      <c r="A479" s="9" t="s">
        <v>2121</v>
      </c>
      <c r="B479" s="9" t="s">
        <v>2116</v>
      </c>
      <c r="C479" s="9" t="s">
        <v>2122</v>
      </c>
      <c r="D479" s="9" t="n">
        <v>2019</v>
      </c>
      <c r="E479" s="9" t="s">
        <v>2123</v>
      </c>
      <c r="F479" s="9"/>
      <c r="G479" s="9" t="s">
        <v>527</v>
      </c>
      <c r="H479" s="9" t="s">
        <v>25</v>
      </c>
      <c r="I479" s="9" t="s">
        <v>2124</v>
      </c>
    </row>
    <row r="480" customFormat="false" ht="25.5" hidden="false" customHeight="true" outlineLevel="0" collapsed="false">
      <c r="A480" s="10" t="s">
        <v>2125</v>
      </c>
      <c r="B480" s="10" t="s">
        <v>2126</v>
      </c>
      <c r="C480" s="10" t="s">
        <v>2127</v>
      </c>
      <c r="D480" s="10" t="n">
        <v>2019</v>
      </c>
      <c r="E480" s="10" t="s">
        <v>268</v>
      </c>
      <c r="F480" s="10" t="s">
        <v>2128</v>
      </c>
      <c r="G480" s="10" t="s">
        <v>507</v>
      </c>
      <c r="H480" s="10" t="s">
        <v>25</v>
      </c>
      <c r="I480" s="10" t="s">
        <v>2129</v>
      </c>
    </row>
    <row r="481" customFormat="false" ht="25.5" hidden="false" customHeight="true" outlineLevel="0" collapsed="false">
      <c r="A481" s="9" t="s">
        <v>2125</v>
      </c>
      <c r="B481" s="9" t="s">
        <v>2126</v>
      </c>
      <c r="C481" s="9" t="s">
        <v>2127</v>
      </c>
      <c r="D481" s="9" t="n">
        <v>2019</v>
      </c>
      <c r="E481" s="9" t="s">
        <v>268</v>
      </c>
      <c r="F481" s="9" t="s">
        <v>2128</v>
      </c>
      <c r="G481" s="9" t="s">
        <v>527</v>
      </c>
      <c r="H481" s="9" t="s">
        <v>25</v>
      </c>
      <c r="I481" s="9" t="s">
        <v>2129</v>
      </c>
    </row>
    <row r="482" customFormat="false" ht="39" hidden="false" customHeight="true" outlineLevel="0" collapsed="false">
      <c r="A482" s="10" t="s">
        <v>2130</v>
      </c>
      <c r="B482" s="10" t="s">
        <v>2131</v>
      </c>
      <c r="C482" s="10" t="s">
        <v>2132</v>
      </c>
      <c r="D482" s="10" t="n">
        <v>2019</v>
      </c>
      <c r="E482" s="10" t="s">
        <v>2133</v>
      </c>
      <c r="F482" s="10" t="s">
        <v>2134</v>
      </c>
      <c r="G482" s="10" t="s">
        <v>527</v>
      </c>
      <c r="H482" s="10" t="s">
        <v>25</v>
      </c>
      <c r="I482" s="10" t="s">
        <v>2135</v>
      </c>
    </row>
    <row r="483" customFormat="false" ht="39" hidden="false" customHeight="true" outlineLevel="0" collapsed="false">
      <c r="A483" s="9" t="s">
        <v>2136</v>
      </c>
      <c r="B483" s="9" t="s">
        <v>2137</v>
      </c>
      <c r="C483" s="9" t="s">
        <v>2138</v>
      </c>
      <c r="D483" s="9" t="n">
        <v>2019</v>
      </c>
      <c r="E483" s="9" t="s">
        <v>2139</v>
      </c>
      <c r="F483" s="9" t="s">
        <v>2140</v>
      </c>
      <c r="G483" s="9" t="s">
        <v>527</v>
      </c>
      <c r="H483" s="9" t="s">
        <v>335</v>
      </c>
      <c r="I483" s="9" t="s">
        <v>2141</v>
      </c>
    </row>
    <row r="484" customFormat="false" ht="39" hidden="false" customHeight="true" outlineLevel="0" collapsed="false">
      <c r="A484" s="10" t="s">
        <v>2142</v>
      </c>
      <c r="B484" s="10" t="s">
        <v>2143</v>
      </c>
      <c r="C484" s="10" t="s">
        <v>2144</v>
      </c>
      <c r="D484" s="10" t="n">
        <v>2019</v>
      </c>
      <c r="E484" s="10" t="s">
        <v>107</v>
      </c>
      <c r="F484" s="10" t="s">
        <v>2145</v>
      </c>
      <c r="G484" s="10" t="s">
        <v>507</v>
      </c>
      <c r="H484" s="10" t="s">
        <v>25</v>
      </c>
      <c r="I484" s="10" t="s">
        <v>2146</v>
      </c>
    </row>
    <row r="485" customFormat="false" ht="39" hidden="false" customHeight="true" outlineLevel="0" collapsed="false">
      <c r="A485" s="9" t="s">
        <v>2142</v>
      </c>
      <c r="B485" s="9" t="s">
        <v>2143</v>
      </c>
      <c r="C485" s="9" t="s">
        <v>2144</v>
      </c>
      <c r="D485" s="9" t="n">
        <v>2019</v>
      </c>
      <c r="E485" s="9" t="s">
        <v>107</v>
      </c>
      <c r="F485" s="9" t="s">
        <v>2145</v>
      </c>
      <c r="G485" s="9" t="s">
        <v>527</v>
      </c>
      <c r="H485" s="9" t="s">
        <v>25</v>
      </c>
      <c r="I485" s="9" t="s">
        <v>2146</v>
      </c>
    </row>
    <row r="486" customFormat="false" ht="39" hidden="false" customHeight="true" outlineLevel="0" collapsed="false">
      <c r="A486" s="10" t="s">
        <v>2147</v>
      </c>
      <c r="B486" s="10" t="s">
        <v>2148</v>
      </c>
      <c r="C486" s="10" t="s">
        <v>2149</v>
      </c>
      <c r="D486" s="10" t="n">
        <v>2019</v>
      </c>
      <c r="E486" s="10" t="s">
        <v>32</v>
      </c>
      <c r="F486" s="10" t="s">
        <v>2150</v>
      </c>
      <c r="G486" s="10" t="s">
        <v>527</v>
      </c>
      <c r="H486" s="10" t="s">
        <v>25</v>
      </c>
      <c r="I486" s="10" t="s">
        <v>2151</v>
      </c>
    </row>
    <row r="487" customFormat="false" ht="51.75" hidden="false" customHeight="true" outlineLevel="0" collapsed="false">
      <c r="A487" s="9" t="s">
        <v>2152</v>
      </c>
      <c r="B487" s="9" t="s">
        <v>2153</v>
      </c>
      <c r="C487" s="9" t="s">
        <v>2154</v>
      </c>
      <c r="D487" s="9" t="n">
        <v>2019</v>
      </c>
      <c r="E487" s="9" t="s">
        <v>107</v>
      </c>
      <c r="F487" s="9" t="s">
        <v>2155</v>
      </c>
      <c r="G487" s="9" t="s">
        <v>507</v>
      </c>
      <c r="H487" s="9" t="s">
        <v>25</v>
      </c>
      <c r="I487" s="9" t="s">
        <v>2156</v>
      </c>
    </row>
    <row r="488" customFormat="false" ht="51.75" hidden="false" customHeight="true" outlineLevel="0" collapsed="false">
      <c r="A488" s="10" t="s">
        <v>2157</v>
      </c>
      <c r="B488" s="10" t="s">
        <v>2158</v>
      </c>
      <c r="C488" s="10" t="s">
        <v>2159</v>
      </c>
      <c r="D488" s="10" t="n">
        <v>2019</v>
      </c>
      <c r="E488" s="10" t="s">
        <v>2160</v>
      </c>
      <c r="F488" s="10"/>
      <c r="G488" s="10" t="s">
        <v>527</v>
      </c>
      <c r="H488" s="10" t="s">
        <v>25</v>
      </c>
      <c r="I488" s="10" t="s">
        <v>2161</v>
      </c>
    </row>
    <row r="489" customFormat="false" ht="51.75" hidden="false" customHeight="true" outlineLevel="0" collapsed="false">
      <c r="A489" s="9" t="s">
        <v>2162</v>
      </c>
      <c r="B489" s="9" t="s">
        <v>2163</v>
      </c>
      <c r="C489" s="9" t="s">
        <v>2164</v>
      </c>
      <c r="D489" s="9" t="n">
        <v>2019</v>
      </c>
      <c r="E489" s="9" t="s">
        <v>2165</v>
      </c>
      <c r="F489" s="9"/>
      <c r="G489" s="9" t="s">
        <v>507</v>
      </c>
      <c r="H489" s="9" t="s">
        <v>514</v>
      </c>
      <c r="I489" s="9" t="s">
        <v>2166</v>
      </c>
    </row>
    <row r="490" customFormat="false" ht="51.75" hidden="false" customHeight="true" outlineLevel="0" collapsed="false">
      <c r="A490" s="10" t="s">
        <v>2162</v>
      </c>
      <c r="B490" s="10" t="s">
        <v>2163</v>
      </c>
      <c r="C490" s="10" t="s">
        <v>2164</v>
      </c>
      <c r="D490" s="10" t="n">
        <v>2019</v>
      </c>
      <c r="E490" s="10" t="s">
        <v>2165</v>
      </c>
      <c r="F490" s="10"/>
      <c r="G490" s="10" t="s">
        <v>527</v>
      </c>
      <c r="H490" s="10" t="s">
        <v>514</v>
      </c>
      <c r="I490" s="10" t="s">
        <v>2166</v>
      </c>
    </row>
    <row r="491" customFormat="false" ht="51.75" hidden="false" customHeight="true" outlineLevel="0" collapsed="false">
      <c r="A491" s="9" t="s">
        <v>2167</v>
      </c>
      <c r="B491" s="9" t="s">
        <v>2168</v>
      </c>
      <c r="C491" s="9" t="s">
        <v>2169</v>
      </c>
      <c r="D491" s="9" t="n">
        <v>2019</v>
      </c>
      <c r="E491" s="9" t="s">
        <v>2170</v>
      </c>
      <c r="F491" s="9" t="s">
        <v>2171</v>
      </c>
      <c r="G491" s="9" t="s">
        <v>527</v>
      </c>
      <c r="H491" s="9" t="s">
        <v>25</v>
      </c>
      <c r="I491" s="9" t="s">
        <v>2172</v>
      </c>
    </row>
    <row r="492" customFormat="false" ht="39" hidden="false" customHeight="true" outlineLevel="0" collapsed="false">
      <c r="A492" s="10" t="s">
        <v>2173</v>
      </c>
      <c r="B492" s="10" t="s">
        <v>2174</v>
      </c>
      <c r="C492" s="10" t="s">
        <v>2175</v>
      </c>
      <c r="D492" s="10" t="n">
        <v>2019</v>
      </c>
      <c r="E492" s="10" t="s">
        <v>2133</v>
      </c>
      <c r="F492" s="10" t="s">
        <v>2176</v>
      </c>
      <c r="G492" s="10" t="s">
        <v>527</v>
      </c>
      <c r="H492" s="10" t="s">
        <v>25</v>
      </c>
      <c r="I492" s="10" t="s">
        <v>2177</v>
      </c>
    </row>
    <row r="493" customFormat="false" ht="51.75" hidden="false" customHeight="true" outlineLevel="0" collapsed="false">
      <c r="A493" s="9" t="s">
        <v>2178</v>
      </c>
      <c r="B493" s="9" t="s">
        <v>2179</v>
      </c>
      <c r="C493" s="9" t="s">
        <v>2180</v>
      </c>
      <c r="D493" s="9" t="n">
        <v>2019</v>
      </c>
      <c r="E493" s="9" t="s">
        <v>2112</v>
      </c>
      <c r="F493" s="9" t="s">
        <v>2181</v>
      </c>
      <c r="G493" s="9" t="s">
        <v>527</v>
      </c>
      <c r="H493" s="9" t="s">
        <v>25</v>
      </c>
      <c r="I493" s="9" t="s">
        <v>2182</v>
      </c>
    </row>
    <row r="494" customFormat="false" ht="25.5" hidden="false" customHeight="true" outlineLevel="0" collapsed="false">
      <c r="A494" s="10" t="s">
        <v>2183</v>
      </c>
      <c r="B494" s="10" t="s">
        <v>2184</v>
      </c>
      <c r="C494" s="10" t="s">
        <v>2185</v>
      </c>
      <c r="D494" s="10" t="n">
        <v>2019</v>
      </c>
      <c r="E494" s="10" t="s">
        <v>2186</v>
      </c>
      <c r="F494" s="10" t="s">
        <v>2187</v>
      </c>
      <c r="G494" s="10" t="s">
        <v>527</v>
      </c>
      <c r="H494" s="10" t="s">
        <v>25</v>
      </c>
      <c r="I494" s="10" t="s">
        <v>2188</v>
      </c>
    </row>
    <row r="495" customFormat="false" ht="25.5" hidden="false" customHeight="true" outlineLevel="0" collapsed="false">
      <c r="A495" s="9" t="s">
        <v>2189</v>
      </c>
      <c r="B495" s="9" t="s">
        <v>2190</v>
      </c>
      <c r="C495" s="9" t="s">
        <v>2191</v>
      </c>
      <c r="D495" s="9" t="n">
        <v>2019</v>
      </c>
      <c r="E495" s="9" t="s">
        <v>107</v>
      </c>
      <c r="F495" s="9" t="s">
        <v>2192</v>
      </c>
      <c r="G495" s="9" t="s">
        <v>507</v>
      </c>
      <c r="H495" s="9" t="s">
        <v>25</v>
      </c>
      <c r="I495" s="9" t="s">
        <v>2193</v>
      </c>
    </row>
    <row r="496" customFormat="false" ht="25.5" hidden="false" customHeight="true" outlineLevel="0" collapsed="false">
      <c r="A496" s="10" t="s">
        <v>2189</v>
      </c>
      <c r="B496" s="10" t="s">
        <v>2190</v>
      </c>
      <c r="C496" s="10" t="s">
        <v>2191</v>
      </c>
      <c r="D496" s="10" t="n">
        <v>2019</v>
      </c>
      <c r="E496" s="10" t="s">
        <v>107</v>
      </c>
      <c r="F496" s="10" t="s">
        <v>2192</v>
      </c>
      <c r="G496" s="10" t="s">
        <v>527</v>
      </c>
      <c r="H496" s="10" t="s">
        <v>25</v>
      </c>
      <c r="I496" s="10" t="s">
        <v>2193</v>
      </c>
    </row>
    <row r="497" customFormat="false" ht="25.5" hidden="false" customHeight="true" outlineLevel="0" collapsed="false">
      <c r="A497" s="9" t="s">
        <v>2194</v>
      </c>
      <c r="B497" s="9" t="s">
        <v>2195</v>
      </c>
      <c r="C497" s="9" t="s">
        <v>2196</v>
      </c>
      <c r="D497" s="9" t="n">
        <v>2019</v>
      </c>
      <c r="E497" s="9" t="s">
        <v>81</v>
      </c>
      <c r="F497" s="9" t="s">
        <v>2197</v>
      </c>
      <c r="G497" s="9" t="s">
        <v>507</v>
      </c>
      <c r="H497" s="9" t="s">
        <v>25</v>
      </c>
      <c r="I497" s="9" t="s">
        <v>2198</v>
      </c>
    </row>
    <row r="498" customFormat="false" ht="25.5" hidden="false" customHeight="true" outlineLevel="0" collapsed="false">
      <c r="A498" s="10" t="s">
        <v>2199</v>
      </c>
      <c r="B498" s="10" t="s">
        <v>2200</v>
      </c>
      <c r="C498" s="10" t="s">
        <v>2201</v>
      </c>
      <c r="D498" s="10" t="n">
        <v>2019</v>
      </c>
      <c r="E498" s="10" t="s">
        <v>81</v>
      </c>
      <c r="F498" s="10" t="s">
        <v>2202</v>
      </c>
      <c r="G498" s="10" t="s">
        <v>507</v>
      </c>
      <c r="H498" s="10" t="s">
        <v>25</v>
      </c>
      <c r="I498" s="10" t="s">
        <v>2203</v>
      </c>
    </row>
    <row r="499" customFormat="false" ht="78" hidden="false" customHeight="true" outlineLevel="0" collapsed="false">
      <c r="A499" s="9" t="s">
        <v>2204</v>
      </c>
      <c r="B499" s="9" t="s">
        <v>2205</v>
      </c>
      <c r="C499" s="9" t="s">
        <v>2206</v>
      </c>
      <c r="D499" s="9" t="n">
        <v>2019</v>
      </c>
      <c r="E499" s="9" t="s">
        <v>908</v>
      </c>
      <c r="F499" s="9" t="s">
        <v>2207</v>
      </c>
      <c r="G499" s="9" t="s">
        <v>527</v>
      </c>
      <c r="H499" s="9" t="s">
        <v>25</v>
      </c>
      <c r="I499" s="9" t="s">
        <v>2208</v>
      </c>
    </row>
    <row r="500" customFormat="false" ht="25.5" hidden="false" customHeight="true" outlineLevel="0" collapsed="false">
      <c r="A500" s="10" t="s">
        <v>2209</v>
      </c>
      <c r="B500" s="10" t="s">
        <v>2210</v>
      </c>
      <c r="C500" s="10" t="s">
        <v>2211</v>
      </c>
      <c r="D500" s="10" t="n">
        <v>2019</v>
      </c>
      <c r="E500" s="10" t="s">
        <v>107</v>
      </c>
      <c r="F500" s="10"/>
      <c r="G500" s="10" t="s">
        <v>507</v>
      </c>
      <c r="H500" s="10" t="s">
        <v>25</v>
      </c>
      <c r="I500" s="10" t="s">
        <v>2212</v>
      </c>
    </row>
    <row r="501" customFormat="false" ht="25.5" hidden="false" customHeight="true" outlineLevel="0" collapsed="false">
      <c r="A501" s="9" t="s">
        <v>2209</v>
      </c>
      <c r="B501" s="9" t="s">
        <v>2210</v>
      </c>
      <c r="C501" s="9" t="s">
        <v>2211</v>
      </c>
      <c r="D501" s="9" t="n">
        <v>2019</v>
      </c>
      <c r="E501" s="9" t="s">
        <v>107</v>
      </c>
      <c r="F501" s="9"/>
      <c r="G501" s="9" t="s">
        <v>527</v>
      </c>
      <c r="H501" s="9" t="s">
        <v>25</v>
      </c>
      <c r="I501" s="9" t="s">
        <v>2212</v>
      </c>
    </row>
    <row r="502" customFormat="false" ht="25.5" hidden="false" customHeight="true" outlineLevel="0" collapsed="false">
      <c r="A502" s="10" t="s">
        <v>2213</v>
      </c>
      <c r="B502" s="10" t="s">
        <v>2214</v>
      </c>
      <c r="C502" s="10" t="s">
        <v>2215</v>
      </c>
      <c r="D502" s="10" t="n">
        <v>2019</v>
      </c>
      <c r="E502" s="10" t="s">
        <v>268</v>
      </c>
      <c r="F502" s="10" t="s">
        <v>2216</v>
      </c>
      <c r="G502" s="10" t="s">
        <v>507</v>
      </c>
      <c r="H502" s="10" t="s">
        <v>25</v>
      </c>
      <c r="I502" s="10" t="s">
        <v>2217</v>
      </c>
    </row>
    <row r="503" customFormat="false" ht="25.5" hidden="false" customHeight="true" outlineLevel="0" collapsed="false">
      <c r="A503" s="9" t="s">
        <v>2213</v>
      </c>
      <c r="B503" s="9" t="s">
        <v>2214</v>
      </c>
      <c r="C503" s="9" t="s">
        <v>2215</v>
      </c>
      <c r="D503" s="9" t="n">
        <v>2019</v>
      </c>
      <c r="E503" s="9" t="s">
        <v>268</v>
      </c>
      <c r="F503" s="9" t="s">
        <v>2216</v>
      </c>
      <c r="G503" s="9" t="s">
        <v>527</v>
      </c>
      <c r="H503" s="9" t="s">
        <v>25</v>
      </c>
      <c r="I503" s="9" t="s">
        <v>2217</v>
      </c>
    </row>
    <row r="504" customFormat="false" ht="39" hidden="false" customHeight="true" outlineLevel="0" collapsed="false">
      <c r="A504" s="10" t="s">
        <v>2218</v>
      </c>
      <c r="B504" s="10" t="s">
        <v>2219</v>
      </c>
      <c r="C504" s="10" t="s">
        <v>2220</v>
      </c>
      <c r="D504" s="10" t="n">
        <v>2019</v>
      </c>
      <c r="E504" s="10" t="s">
        <v>2221</v>
      </c>
      <c r="F504" s="10"/>
      <c r="G504" s="10" t="s">
        <v>507</v>
      </c>
      <c r="H504" s="10" t="s">
        <v>25</v>
      </c>
      <c r="I504" s="10" t="s">
        <v>2222</v>
      </c>
    </row>
    <row r="505" customFormat="false" ht="39" hidden="false" customHeight="true" outlineLevel="0" collapsed="false">
      <c r="A505" s="9" t="s">
        <v>2218</v>
      </c>
      <c r="B505" s="9" t="s">
        <v>2219</v>
      </c>
      <c r="C505" s="9" t="s">
        <v>2220</v>
      </c>
      <c r="D505" s="9" t="n">
        <v>2019</v>
      </c>
      <c r="E505" s="9" t="s">
        <v>2221</v>
      </c>
      <c r="F505" s="9"/>
      <c r="G505" s="9" t="s">
        <v>527</v>
      </c>
      <c r="H505" s="9" t="s">
        <v>25</v>
      </c>
      <c r="I505" s="9" t="s">
        <v>2222</v>
      </c>
    </row>
    <row r="506" customFormat="false" ht="39" hidden="false" customHeight="true" outlineLevel="0" collapsed="false">
      <c r="A506" s="10" t="s">
        <v>2223</v>
      </c>
      <c r="B506" s="10" t="s">
        <v>2224</v>
      </c>
      <c r="C506" s="10" t="s">
        <v>2225</v>
      </c>
      <c r="D506" s="10" t="n">
        <v>2018</v>
      </c>
      <c r="E506" s="10" t="s">
        <v>2226</v>
      </c>
      <c r="F506" s="10" t="s">
        <v>2227</v>
      </c>
      <c r="G506" s="10" t="s">
        <v>527</v>
      </c>
      <c r="H506" s="10" t="s">
        <v>25</v>
      </c>
      <c r="I506" s="10" t="s">
        <v>2228</v>
      </c>
    </row>
    <row r="507" customFormat="false" ht="39" hidden="false" customHeight="true" outlineLevel="0" collapsed="false">
      <c r="A507" s="9" t="s">
        <v>2229</v>
      </c>
      <c r="B507" s="9" t="s">
        <v>2230</v>
      </c>
      <c r="C507" s="9" t="s">
        <v>2231</v>
      </c>
      <c r="D507" s="9" t="n">
        <v>2018</v>
      </c>
      <c r="E507" s="9" t="s">
        <v>2232</v>
      </c>
      <c r="F507" s="9" t="s">
        <v>2233</v>
      </c>
      <c r="G507" s="9" t="s">
        <v>527</v>
      </c>
      <c r="H507" s="9" t="s">
        <v>25</v>
      </c>
      <c r="I507" s="9" t="s">
        <v>2234</v>
      </c>
    </row>
    <row r="508" customFormat="false" ht="51.75" hidden="false" customHeight="true" outlineLevel="0" collapsed="false">
      <c r="A508" s="10" t="s">
        <v>2235</v>
      </c>
      <c r="B508" s="10" t="s">
        <v>2236</v>
      </c>
      <c r="C508" s="10" t="s">
        <v>2237</v>
      </c>
      <c r="D508" s="10" t="n">
        <v>2018</v>
      </c>
      <c r="E508" s="10" t="s">
        <v>2232</v>
      </c>
      <c r="F508" s="10" t="s">
        <v>2238</v>
      </c>
      <c r="G508" s="10" t="s">
        <v>507</v>
      </c>
      <c r="H508" s="10" t="s">
        <v>25</v>
      </c>
      <c r="I508" s="10" t="s">
        <v>2239</v>
      </c>
    </row>
    <row r="509" customFormat="false" ht="51.75" hidden="false" customHeight="true" outlineLevel="0" collapsed="false">
      <c r="A509" s="9" t="s">
        <v>2235</v>
      </c>
      <c r="B509" s="9" t="s">
        <v>2236</v>
      </c>
      <c r="C509" s="9" t="s">
        <v>2237</v>
      </c>
      <c r="D509" s="9" t="n">
        <v>2018</v>
      </c>
      <c r="E509" s="9" t="s">
        <v>2232</v>
      </c>
      <c r="F509" s="9" t="s">
        <v>2238</v>
      </c>
      <c r="G509" s="9" t="s">
        <v>527</v>
      </c>
      <c r="H509" s="9" t="s">
        <v>25</v>
      </c>
      <c r="I509" s="9" t="s">
        <v>2239</v>
      </c>
    </row>
    <row r="510" customFormat="false" ht="25.5" hidden="false" customHeight="true" outlineLevel="0" collapsed="false">
      <c r="A510" s="10" t="s">
        <v>2240</v>
      </c>
      <c r="B510" s="10" t="s">
        <v>2241</v>
      </c>
      <c r="C510" s="10" t="s">
        <v>2242</v>
      </c>
      <c r="D510" s="10" t="n">
        <v>2018</v>
      </c>
      <c r="E510" s="10" t="s">
        <v>2243</v>
      </c>
      <c r="F510" s="10" t="s">
        <v>2244</v>
      </c>
      <c r="G510" s="10" t="s">
        <v>527</v>
      </c>
      <c r="H510" s="10" t="s">
        <v>25</v>
      </c>
      <c r="I510" s="10" t="s">
        <v>2245</v>
      </c>
    </row>
    <row r="511" customFormat="false" ht="39" hidden="false" customHeight="true" outlineLevel="0" collapsed="false">
      <c r="A511" s="9" t="s">
        <v>2246</v>
      </c>
      <c r="B511" s="9" t="s">
        <v>2247</v>
      </c>
      <c r="C511" s="9" t="s">
        <v>2248</v>
      </c>
      <c r="D511" s="9" t="n">
        <v>2018</v>
      </c>
      <c r="E511" s="9" t="s">
        <v>50</v>
      </c>
      <c r="F511" s="9" t="s">
        <v>2249</v>
      </c>
      <c r="G511" s="9" t="s">
        <v>507</v>
      </c>
      <c r="H511" s="9" t="s">
        <v>25</v>
      </c>
      <c r="I511" s="9" t="s">
        <v>2250</v>
      </c>
    </row>
    <row r="512" customFormat="false" ht="39" hidden="false" customHeight="true" outlineLevel="0" collapsed="false">
      <c r="A512" s="10" t="s">
        <v>2246</v>
      </c>
      <c r="B512" s="10" t="s">
        <v>2247</v>
      </c>
      <c r="C512" s="10" t="s">
        <v>2248</v>
      </c>
      <c r="D512" s="10" t="n">
        <v>2018</v>
      </c>
      <c r="E512" s="10" t="s">
        <v>50</v>
      </c>
      <c r="F512" s="10" t="s">
        <v>2249</v>
      </c>
      <c r="G512" s="10" t="s">
        <v>527</v>
      </c>
      <c r="H512" s="10" t="s">
        <v>25</v>
      </c>
      <c r="I512" s="10" t="s">
        <v>2250</v>
      </c>
    </row>
    <row r="513" customFormat="false" ht="39" hidden="false" customHeight="true" outlineLevel="0" collapsed="false">
      <c r="A513" s="9" t="s">
        <v>2251</v>
      </c>
      <c r="B513" s="9" t="s">
        <v>2252</v>
      </c>
      <c r="C513" s="9" t="s">
        <v>2253</v>
      </c>
      <c r="D513" s="9" t="n">
        <v>2018</v>
      </c>
      <c r="E513" s="9" t="s">
        <v>2254</v>
      </c>
      <c r="F513" s="9" t="s">
        <v>2255</v>
      </c>
      <c r="G513" s="9" t="s">
        <v>507</v>
      </c>
      <c r="H513" s="9" t="s">
        <v>25</v>
      </c>
      <c r="I513" s="9" t="s">
        <v>2256</v>
      </c>
    </row>
    <row r="514" customFormat="false" ht="39" hidden="false" customHeight="true" outlineLevel="0" collapsed="false">
      <c r="A514" s="10" t="s">
        <v>2251</v>
      </c>
      <c r="B514" s="10" t="s">
        <v>2252</v>
      </c>
      <c r="C514" s="10" t="s">
        <v>2253</v>
      </c>
      <c r="D514" s="10" t="n">
        <v>2018</v>
      </c>
      <c r="E514" s="10" t="s">
        <v>2254</v>
      </c>
      <c r="F514" s="10" t="s">
        <v>2255</v>
      </c>
      <c r="G514" s="10" t="s">
        <v>527</v>
      </c>
      <c r="H514" s="10" t="s">
        <v>25</v>
      </c>
      <c r="I514" s="10" t="s">
        <v>2256</v>
      </c>
    </row>
    <row r="515" customFormat="false" ht="39" hidden="false" customHeight="true" outlineLevel="0" collapsed="false">
      <c r="A515" s="9" t="s">
        <v>2257</v>
      </c>
      <c r="B515" s="9" t="s">
        <v>2258</v>
      </c>
      <c r="C515" s="9" t="s">
        <v>2259</v>
      </c>
      <c r="D515" s="9" t="n">
        <v>2018</v>
      </c>
      <c r="E515" s="9" t="s">
        <v>66</v>
      </c>
      <c r="F515" s="9" t="s">
        <v>2260</v>
      </c>
      <c r="G515" s="9" t="s">
        <v>527</v>
      </c>
      <c r="H515" s="9" t="s">
        <v>25</v>
      </c>
      <c r="I515" s="9" t="s">
        <v>2261</v>
      </c>
    </row>
    <row r="516" customFormat="false" ht="39" hidden="false" customHeight="true" outlineLevel="0" collapsed="false">
      <c r="A516" s="10" t="s">
        <v>2262</v>
      </c>
      <c r="B516" s="10" t="s">
        <v>73</v>
      </c>
      <c r="C516" s="10" t="s">
        <v>72</v>
      </c>
      <c r="D516" s="10" t="n">
        <v>2018</v>
      </c>
      <c r="E516" s="10" t="s">
        <v>32</v>
      </c>
      <c r="F516" s="10" t="s">
        <v>74</v>
      </c>
      <c r="G516" s="10" t="s">
        <v>507</v>
      </c>
      <c r="H516" s="10" t="s">
        <v>25</v>
      </c>
      <c r="I516" s="10" t="s">
        <v>2263</v>
      </c>
    </row>
    <row r="517" customFormat="false" ht="39" hidden="false" customHeight="true" outlineLevel="0" collapsed="false">
      <c r="A517" s="9" t="s">
        <v>2262</v>
      </c>
      <c r="B517" s="9" t="s">
        <v>73</v>
      </c>
      <c r="C517" s="9" t="s">
        <v>72</v>
      </c>
      <c r="D517" s="9" t="n">
        <v>2018</v>
      </c>
      <c r="E517" s="9" t="s">
        <v>32</v>
      </c>
      <c r="F517" s="9" t="s">
        <v>74</v>
      </c>
      <c r="G517" s="9" t="s">
        <v>527</v>
      </c>
      <c r="H517" s="9" t="s">
        <v>25</v>
      </c>
      <c r="I517" s="9" t="s">
        <v>2263</v>
      </c>
    </row>
    <row r="518" customFormat="false" ht="39" hidden="false" customHeight="true" outlineLevel="0" collapsed="false">
      <c r="A518" s="10" t="s">
        <v>2264</v>
      </c>
      <c r="B518" s="10" t="s">
        <v>2265</v>
      </c>
      <c r="C518" s="10" t="s">
        <v>2266</v>
      </c>
      <c r="D518" s="10" t="n">
        <v>2018</v>
      </c>
      <c r="E518" s="10" t="s">
        <v>2267</v>
      </c>
      <c r="F518" s="10" t="s">
        <v>2268</v>
      </c>
      <c r="G518" s="10" t="s">
        <v>507</v>
      </c>
      <c r="H518" s="10" t="s">
        <v>514</v>
      </c>
      <c r="I518" s="10" t="s">
        <v>2269</v>
      </c>
    </row>
    <row r="519" customFormat="false" ht="39" hidden="false" customHeight="true" outlineLevel="0" collapsed="false">
      <c r="A519" s="9" t="s">
        <v>2264</v>
      </c>
      <c r="B519" s="9" t="s">
        <v>2265</v>
      </c>
      <c r="C519" s="9" t="s">
        <v>2266</v>
      </c>
      <c r="D519" s="9" t="n">
        <v>2018</v>
      </c>
      <c r="E519" s="9" t="s">
        <v>2267</v>
      </c>
      <c r="F519" s="9" t="s">
        <v>2268</v>
      </c>
      <c r="G519" s="9" t="s">
        <v>527</v>
      </c>
      <c r="H519" s="9" t="s">
        <v>514</v>
      </c>
      <c r="I519" s="9" t="s">
        <v>2269</v>
      </c>
    </row>
    <row r="520" customFormat="false" ht="39" hidden="false" customHeight="true" outlineLevel="0" collapsed="false">
      <c r="A520" s="10" t="s">
        <v>2270</v>
      </c>
      <c r="B520" s="10" t="s">
        <v>151</v>
      </c>
      <c r="C520" s="10" t="s">
        <v>150</v>
      </c>
      <c r="D520" s="10" t="n">
        <v>2018</v>
      </c>
      <c r="E520" s="10" t="s">
        <v>32</v>
      </c>
      <c r="F520" s="10" t="s">
        <v>152</v>
      </c>
      <c r="G520" s="10" t="s">
        <v>527</v>
      </c>
      <c r="H520" s="10" t="s">
        <v>25</v>
      </c>
      <c r="I520" s="10" t="s">
        <v>2271</v>
      </c>
    </row>
    <row r="521" customFormat="false" ht="39" hidden="false" customHeight="true" outlineLevel="0" collapsed="false">
      <c r="A521" s="9" t="s">
        <v>2272</v>
      </c>
      <c r="B521" s="9" t="s">
        <v>2273</v>
      </c>
      <c r="C521" s="9" t="s">
        <v>2274</v>
      </c>
      <c r="D521" s="9" t="n">
        <v>2018</v>
      </c>
      <c r="E521" s="9" t="s">
        <v>2232</v>
      </c>
      <c r="F521" s="9" t="s">
        <v>2275</v>
      </c>
      <c r="G521" s="9" t="s">
        <v>507</v>
      </c>
      <c r="H521" s="9" t="s">
        <v>25</v>
      </c>
      <c r="I521" s="9" t="s">
        <v>2276</v>
      </c>
    </row>
    <row r="522" customFormat="false" ht="39" hidden="false" customHeight="true" outlineLevel="0" collapsed="false">
      <c r="A522" s="10" t="s">
        <v>2272</v>
      </c>
      <c r="B522" s="10" t="s">
        <v>2273</v>
      </c>
      <c r="C522" s="10" t="s">
        <v>2274</v>
      </c>
      <c r="D522" s="10" t="n">
        <v>2018</v>
      </c>
      <c r="E522" s="10" t="s">
        <v>2232</v>
      </c>
      <c r="F522" s="10" t="s">
        <v>2275</v>
      </c>
      <c r="G522" s="10" t="s">
        <v>527</v>
      </c>
      <c r="H522" s="10" t="s">
        <v>25</v>
      </c>
      <c r="I522" s="10" t="s">
        <v>2276</v>
      </c>
    </row>
    <row r="523" customFormat="false" ht="39" hidden="false" customHeight="true" outlineLevel="0" collapsed="false">
      <c r="A523" s="9" t="s">
        <v>2277</v>
      </c>
      <c r="B523" s="9" t="s">
        <v>151</v>
      </c>
      <c r="C523" s="9" t="s">
        <v>2278</v>
      </c>
      <c r="D523" s="9" t="n">
        <v>2018</v>
      </c>
      <c r="E523" s="9" t="s">
        <v>2279</v>
      </c>
      <c r="F523" s="9" t="s">
        <v>2280</v>
      </c>
      <c r="G523" s="9" t="s">
        <v>507</v>
      </c>
      <c r="H523" s="9" t="s">
        <v>25</v>
      </c>
      <c r="I523" s="9" t="s">
        <v>2281</v>
      </c>
    </row>
    <row r="524" customFormat="false" ht="39" hidden="false" customHeight="true" outlineLevel="0" collapsed="false">
      <c r="A524" s="10" t="s">
        <v>2277</v>
      </c>
      <c r="B524" s="10" t="s">
        <v>151</v>
      </c>
      <c r="C524" s="10" t="s">
        <v>2278</v>
      </c>
      <c r="D524" s="10" t="n">
        <v>2018</v>
      </c>
      <c r="E524" s="10" t="s">
        <v>2279</v>
      </c>
      <c r="F524" s="10" t="s">
        <v>2280</v>
      </c>
      <c r="G524" s="10" t="s">
        <v>527</v>
      </c>
      <c r="H524" s="10" t="s">
        <v>25</v>
      </c>
      <c r="I524" s="10" t="s">
        <v>2281</v>
      </c>
    </row>
    <row r="525" customFormat="false" ht="39" hidden="false" customHeight="true" outlineLevel="0" collapsed="false">
      <c r="A525" s="9" t="s">
        <v>2282</v>
      </c>
      <c r="B525" s="9" t="s">
        <v>2283</v>
      </c>
      <c r="C525" s="9" t="s">
        <v>2284</v>
      </c>
      <c r="D525" s="9" t="n">
        <v>2018</v>
      </c>
      <c r="E525" s="9" t="s">
        <v>2285</v>
      </c>
      <c r="F525" s="9" t="s">
        <v>2286</v>
      </c>
      <c r="G525" s="9" t="s">
        <v>507</v>
      </c>
      <c r="H525" s="9" t="s">
        <v>25</v>
      </c>
      <c r="I525" s="9" t="s">
        <v>2287</v>
      </c>
    </row>
    <row r="526" customFormat="false" ht="25.5" hidden="false" customHeight="true" outlineLevel="0" collapsed="false">
      <c r="A526" s="10" t="s">
        <v>2288</v>
      </c>
      <c r="B526" s="10" t="s">
        <v>2289</v>
      </c>
      <c r="C526" s="10" t="s">
        <v>2290</v>
      </c>
      <c r="D526" s="10" t="n">
        <v>2018</v>
      </c>
      <c r="E526" s="10" t="s">
        <v>81</v>
      </c>
      <c r="F526" s="10" t="s">
        <v>2291</v>
      </c>
      <c r="G526" s="10" t="s">
        <v>527</v>
      </c>
      <c r="H526" s="10" t="s">
        <v>25</v>
      </c>
      <c r="I526" s="10" t="s">
        <v>2292</v>
      </c>
    </row>
    <row r="527" customFormat="false" ht="51.75" hidden="false" customHeight="true" outlineLevel="0" collapsed="false">
      <c r="A527" s="9" t="s">
        <v>2293</v>
      </c>
      <c r="B527" s="9" t="s">
        <v>169</v>
      </c>
      <c r="C527" s="9" t="s">
        <v>168</v>
      </c>
      <c r="D527" s="9" t="n">
        <v>2018</v>
      </c>
      <c r="E527" s="9" t="s">
        <v>170</v>
      </c>
      <c r="F527" s="9" t="s">
        <v>171</v>
      </c>
      <c r="G527" s="9" t="s">
        <v>507</v>
      </c>
      <c r="H527" s="9" t="s">
        <v>25</v>
      </c>
      <c r="I527" s="9" t="s">
        <v>2294</v>
      </c>
    </row>
    <row r="528" customFormat="false" ht="51.75" hidden="false" customHeight="true" outlineLevel="0" collapsed="false">
      <c r="A528" s="10" t="s">
        <v>2293</v>
      </c>
      <c r="B528" s="10" t="s">
        <v>169</v>
      </c>
      <c r="C528" s="10" t="s">
        <v>168</v>
      </c>
      <c r="D528" s="10" t="n">
        <v>2018</v>
      </c>
      <c r="E528" s="10" t="s">
        <v>170</v>
      </c>
      <c r="F528" s="10" t="s">
        <v>171</v>
      </c>
      <c r="G528" s="10" t="s">
        <v>527</v>
      </c>
      <c r="H528" s="10" t="s">
        <v>25</v>
      </c>
      <c r="I528" s="10" t="s">
        <v>2294</v>
      </c>
    </row>
    <row r="529" customFormat="false" ht="39" hidden="false" customHeight="true" outlineLevel="0" collapsed="false">
      <c r="A529" s="9" t="s">
        <v>2295</v>
      </c>
      <c r="B529" s="9" t="s">
        <v>2296</v>
      </c>
      <c r="C529" s="9" t="s">
        <v>2297</v>
      </c>
      <c r="D529" s="9" t="n">
        <v>2018</v>
      </c>
      <c r="E529" s="9" t="s">
        <v>2232</v>
      </c>
      <c r="F529" s="9" t="s">
        <v>2298</v>
      </c>
      <c r="G529" s="9" t="s">
        <v>507</v>
      </c>
      <c r="H529" s="9" t="s">
        <v>25</v>
      </c>
      <c r="I529" s="9" t="s">
        <v>2299</v>
      </c>
    </row>
    <row r="530" customFormat="false" ht="39" hidden="false" customHeight="true" outlineLevel="0" collapsed="false">
      <c r="A530" s="10" t="s">
        <v>2295</v>
      </c>
      <c r="B530" s="10" t="s">
        <v>2296</v>
      </c>
      <c r="C530" s="10" t="s">
        <v>2297</v>
      </c>
      <c r="D530" s="10" t="n">
        <v>2018</v>
      </c>
      <c r="E530" s="10" t="s">
        <v>2232</v>
      </c>
      <c r="F530" s="10" t="s">
        <v>2298</v>
      </c>
      <c r="G530" s="10" t="s">
        <v>527</v>
      </c>
      <c r="H530" s="10" t="s">
        <v>25</v>
      </c>
      <c r="I530" s="10" t="s">
        <v>2299</v>
      </c>
    </row>
    <row r="531" customFormat="false" ht="51.75" hidden="false" customHeight="true" outlineLevel="0" collapsed="false">
      <c r="A531" s="9" t="s">
        <v>2300</v>
      </c>
      <c r="B531" s="9" t="s">
        <v>2301</v>
      </c>
      <c r="C531" s="9" t="s">
        <v>2302</v>
      </c>
      <c r="D531" s="9" t="n">
        <v>2018</v>
      </c>
      <c r="E531" s="9" t="s">
        <v>2303</v>
      </c>
      <c r="F531" s="9" t="s">
        <v>2304</v>
      </c>
      <c r="G531" s="9" t="s">
        <v>527</v>
      </c>
      <c r="H531" s="9" t="s">
        <v>25</v>
      </c>
      <c r="I531" s="9" t="s">
        <v>2305</v>
      </c>
    </row>
    <row r="532" customFormat="false" ht="39" hidden="false" customHeight="true" outlineLevel="0" collapsed="false">
      <c r="A532" s="10" t="s">
        <v>2306</v>
      </c>
      <c r="B532" s="10" t="s">
        <v>2307</v>
      </c>
      <c r="C532" s="10" t="s">
        <v>2308</v>
      </c>
      <c r="D532" s="10" t="n">
        <v>2018</v>
      </c>
      <c r="E532" s="10" t="s">
        <v>2232</v>
      </c>
      <c r="F532" s="10" t="s">
        <v>2309</v>
      </c>
      <c r="G532" s="10" t="s">
        <v>527</v>
      </c>
      <c r="H532" s="10" t="s">
        <v>25</v>
      </c>
      <c r="I532" s="10" t="s">
        <v>2310</v>
      </c>
    </row>
    <row r="533" customFormat="false" ht="25.5" hidden="false" customHeight="true" outlineLevel="0" collapsed="false">
      <c r="A533" s="9" t="s">
        <v>2311</v>
      </c>
      <c r="B533" s="9" t="s">
        <v>2312</v>
      </c>
      <c r="C533" s="9" t="s">
        <v>2313</v>
      </c>
      <c r="D533" s="9" t="n">
        <v>2018</v>
      </c>
      <c r="E533" s="9" t="s">
        <v>2314</v>
      </c>
      <c r="F533" s="9" t="s">
        <v>2315</v>
      </c>
      <c r="G533" s="9" t="s">
        <v>507</v>
      </c>
      <c r="H533" s="9" t="s">
        <v>335</v>
      </c>
      <c r="I533" s="9" t="s">
        <v>2316</v>
      </c>
    </row>
    <row r="534" customFormat="false" ht="39" hidden="false" customHeight="true" outlineLevel="0" collapsed="false">
      <c r="A534" s="10" t="s">
        <v>2317</v>
      </c>
      <c r="B534" s="10" t="s">
        <v>2318</v>
      </c>
      <c r="C534" s="10" t="s">
        <v>2319</v>
      </c>
      <c r="D534" s="10" t="n">
        <v>2018</v>
      </c>
      <c r="E534" s="10" t="s">
        <v>268</v>
      </c>
      <c r="F534" s="10"/>
      <c r="G534" s="10" t="s">
        <v>527</v>
      </c>
      <c r="H534" s="10" t="s">
        <v>25</v>
      </c>
      <c r="I534" s="10" t="s">
        <v>2320</v>
      </c>
    </row>
    <row r="535" customFormat="false" ht="25.5" hidden="false" customHeight="true" outlineLevel="0" collapsed="false">
      <c r="A535" s="9" t="s">
        <v>2321</v>
      </c>
      <c r="B535" s="9" t="s">
        <v>2322</v>
      </c>
      <c r="C535" s="9" t="s">
        <v>2323</v>
      </c>
      <c r="D535" s="9" t="n">
        <v>2018</v>
      </c>
      <c r="E535" s="9" t="s">
        <v>2324</v>
      </c>
      <c r="F535" s="9" t="s">
        <v>2325</v>
      </c>
      <c r="G535" s="9" t="s">
        <v>507</v>
      </c>
      <c r="H535" s="9" t="s">
        <v>335</v>
      </c>
      <c r="I535" s="9" t="s">
        <v>2326</v>
      </c>
    </row>
    <row r="536" customFormat="false" ht="51.75" hidden="false" customHeight="true" outlineLevel="0" collapsed="false">
      <c r="A536" s="10" t="s">
        <v>2327</v>
      </c>
      <c r="B536" s="10" t="s">
        <v>2328</v>
      </c>
      <c r="C536" s="10" t="s">
        <v>2329</v>
      </c>
      <c r="D536" s="10" t="n">
        <v>2018</v>
      </c>
      <c r="E536" s="10" t="s">
        <v>2232</v>
      </c>
      <c r="F536" s="10" t="s">
        <v>2330</v>
      </c>
      <c r="G536" s="10" t="s">
        <v>507</v>
      </c>
      <c r="H536" s="10" t="s">
        <v>25</v>
      </c>
      <c r="I536" s="10" t="s">
        <v>2331</v>
      </c>
    </row>
    <row r="537" customFormat="false" ht="25.5" hidden="false" customHeight="true" outlineLevel="0" collapsed="false">
      <c r="A537" s="9" t="s">
        <v>2332</v>
      </c>
      <c r="B537" s="9" t="s">
        <v>2333</v>
      </c>
      <c r="C537" s="9" t="s">
        <v>2334</v>
      </c>
      <c r="D537" s="9" t="n">
        <v>2018</v>
      </c>
      <c r="E537" s="9" t="s">
        <v>937</v>
      </c>
      <c r="F537" s="9" t="s">
        <v>2335</v>
      </c>
      <c r="G537" s="9" t="s">
        <v>507</v>
      </c>
      <c r="H537" s="9" t="s">
        <v>25</v>
      </c>
      <c r="I537" s="9" t="s">
        <v>2336</v>
      </c>
    </row>
    <row r="538" customFormat="false" ht="25.5" hidden="false" customHeight="true" outlineLevel="0" collapsed="false">
      <c r="A538" s="10" t="s">
        <v>2332</v>
      </c>
      <c r="B538" s="10" t="s">
        <v>2333</v>
      </c>
      <c r="C538" s="10" t="s">
        <v>2334</v>
      </c>
      <c r="D538" s="10" t="n">
        <v>2018</v>
      </c>
      <c r="E538" s="10" t="s">
        <v>937</v>
      </c>
      <c r="F538" s="10" t="s">
        <v>2335</v>
      </c>
      <c r="G538" s="10" t="s">
        <v>527</v>
      </c>
      <c r="H538" s="10" t="s">
        <v>25</v>
      </c>
      <c r="I538" s="10" t="s">
        <v>2336</v>
      </c>
    </row>
    <row r="539" customFormat="false" ht="39" hidden="false" customHeight="true" outlineLevel="0" collapsed="false">
      <c r="A539" s="9" t="s">
        <v>2337</v>
      </c>
      <c r="B539" s="9" t="s">
        <v>2338</v>
      </c>
      <c r="C539" s="9" t="s">
        <v>2339</v>
      </c>
      <c r="D539" s="9" t="n">
        <v>2018</v>
      </c>
      <c r="E539" s="9" t="s">
        <v>81</v>
      </c>
      <c r="F539" s="9" t="s">
        <v>2340</v>
      </c>
      <c r="G539" s="9" t="s">
        <v>507</v>
      </c>
      <c r="H539" s="9" t="s">
        <v>25</v>
      </c>
      <c r="I539" s="9" t="s">
        <v>2341</v>
      </c>
    </row>
    <row r="540" customFormat="false" ht="39" hidden="false" customHeight="true" outlineLevel="0" collapsed="false">
      <c r="A540" s="10" t="s">
        <v>2342</v>
      </c>
      <c r="B540" s="10" t="s">
        <v>35</v>
      </c>
      <c r="C540" s="10" t="s">
        <v>34</v>
      </c>
      <c r="D540" s="10" t="n">
        <v>2018</v>
      </c>
      <c r="E540" s="10" t="s">
        <v>36</v>
      </c>
      <c r="F540" s="10" t="s">
        <v>37</v>
      </c>
      <c r="G540" s="10" t="s">
        <v>507</v>
      </c>
      <c r="H540" s="10" t="s">
        <v>25</v>
      </c>
      <c r="I540" s="10" t="s">
        <v>2343</v>
      </c>
    </row>
    <row r="541" customFormat="false" ht="39" hidden="false" customHeight="true" outlineLevel="0" collapsed="false">
      <c r="A541" s="9" t="s">
        <v>2342</v>
      </c>
      <c r="B541" s="9" t="s">
        <v>35</v>
      </c>
      <c r="C541" s="9" t="s">
        <v>34</v>
      </c>
      <c r="D541" s="9" t="n">
        <v>2018</v>
      </c>
      <c r="E541" s="9" t="s">
        <v>36</v>
      </c>
      <c r="F541" s="9" t="s">
        <v>37</v>
      </c>
      <c r="G541" s="9" t="s">
        <v>527</v>
      </c>
      <c r="H541" s="9" t="s">
        <v>25</v>
      </c>
      <c r="I541" s="9" t="s">
        <v>2343</v>
      </c>
    </row>
    <row r="542" customFormat="false" ht="51.75" hidden="false" customHeight="true" outlineLevel="0" collapsed="false">
      <c r="A542" s="10" t="s">
        <v>2344</v>
      </c>
      <c r="B542" s="10" t="s">
        <v>2345</v>
      </c>
      <c r="C542" s="10" t="s">
        <v>2346</v>
      </c>
      <c r="D542" s="10" t="n">
        <v>2018</v>
      </c>
      <c r="E542" s="10" t="s">
        <v>2232</v>
      </c>
      <c r="F542" s="10" t="s">
        <v>2347</v>
      </c>
      <c r="G542" s="10" t="s">
        <v>507</v>
      </c>
      <c r="H542" s="10" t="s">
        <v>25</v>
      </c>
      <c r="I542" s="10" t="s">
        <v>2348</v>
      </c>
    </row>
    <row r="543" customFormat="false" ht="51.75" hidden="false" customHeight="true" outlineLevel="0" collapsed="false">
      <c r="A543" s="9" t="s">
        <v>2344</v>
      </c>
      <c r="B543" s="9" t="s">
        <v>2345</v>
      </c>
      <c r="C543" s="9" t="s">
        <v>2346</v>
      </c>
      <c r="D543" s="9" t="n">
        <v>2018</v>
      </c>
      <c r="E543" s="9" t="s">
        <v>2232</v>
      </c>
      <c r="F543" s="9" t="s">
        <v>2347</v>
      </c>
      <c r="G543" s="9" t="s">
        <v>527</v>
      </c>
      <c r="H543" s="9" t="s">
        <v>25</v>
      </c>
      <c r="I543" s="9" t="s">
        <v>2348</v>
      </c>
    </row>
    <row r="544" customFormat="false" ht="39" hidden="false" customHeight="true" outlineLevel="0" collapsed="false">
      <c r="A544" s="10" t="s">
        <v>2349</v>
      </c>
      <c r="B544" s="10" t="s">
        <v>2350</v>
      </c>
      <c r="C544" s="10" t="s">
        <v>2351</v>
      </c>
      <c r="D544" s="10" t="n">
        <v>2018</v>
      </c>
      <c r="E544" s="10" t="s">
        <v>32</v>
      </c>
      <c r="F544" s="10" t="s">
        <v>2352</v>
      </c>
      <c r="G544" s="10" t="s">
        <v>507</v>
      </c>
      <c r="H544" s="10" t="s">
        <v>25</v>
      </c>
      <c r="I544" s="10" t="s">
        <v>2353</v>
      </c>
    </row>
    <row r="545" customFormat="false" ht="39" hidden="false" customHeight="true" outlineLevel="0" collapsed="false">
      <c r="A545" s="9" t="s">
        <v>2349</v>
      </c>
      <c r="B545" s="9" t="s">
        <v>2350</v>
      </c>
      <c r="C545" s="9" t="s">
        <v>2351</v>
      </c>
      <c r="D545" s="9" t="n">
        <v>2018</v>
      </c>
      <c r="E545" s="9" t="s">
        <v>32</v>
      </c>
      <c r="F545" s="9" t="s">
        <v>2352</v>
      </c>
      <c r="G545" s="9" t="s">
        <v>527</v>
      </c>
      <c r="H545" s="9" t="s">
        <v>25</v>
      </c>
      <c r="I545" s="9" t="s">
        <v>2353</v>
      </c>
    </row>
    <row r="546" customFormat="false" ht="64.5" hidden="false" customHeight="true" outlineLevel="0" collapsed="false">
      <c r="A546" s="10" t="s">
        <v>2354</v>
      </c>
      <c r="B546" s="10" t="s">
        <v>2355</v>
      </c>
      <c r="C546" s="10" t="s">
        <v>2356</v>
      </c>
      <c r="D546" s="10" t="n">
        <v>2017</v>
      </c>
      <c r="E546" s="10" t="s">
        <v>107</v>
      </c>
      <c r="F546" s="10" t="s">
        <v>2357</v>
      </c>
      <c r="G546" s="10" t="s">
        <v>507</v>
      </c>
      <c r="H546" s="10" t="s">
        <v>25</v>
      </c>
      <c r="I546" s="10" t="s">
        <v>2358</v>
      </c>
    </row>
    <row r="547" customFormat="false" ht="64.5" hidden="false" customHeight="true" outlineLevel="0" collapsed="false">
      <c r="A547" s="9" t="s">
        <v>2354</v>
      </c>
      <c r="B547" s="9" t="s">
        <v>2355</v>
      </c>
      <c r="C547" s="9" t="s">
        <v>2356</v>
      </c>
      <c r="D547" s="9" t="n">
        <v>2017</v>
      </c>
      <c r="E547" s="9" t="s">
        <v>107</v>
      </c>
      <c r="F547" s="9" t="s">
        <v>2357</v>
      </c>
      <c r="G547" s="9" t="s">
        <v>527</v>
      </c>
      <c r="H547" s="9" t="s">
        <v>25</v>
      </c>
      <c r="I547" s="9" t="s">
        <v>2358</v>
      </c>
    </row>
    <row r="548" customFormat="false" ht="25.5" hidden="false" customHeight="true" outlineLevel="0" collapsed="false">
      <c r="A548" s="10" t="s">
        <v>2359</v>
      </c>
      <c r="B548" s="10" t="s">
        <v>2360</v>
      </c>
      <c r="C548" s="10" t="s">
        <v>2361</v>
      </c>
      <c r="D548" s="10" t="n">
        <v>2017</v>
      </c>
      <c r="E548" s="10" t="s">
        <v>32</v>
      </c>
      <c r="F548" s="10" t="s">
        <v>2362</v>
      </c>
      <c r="G548" s="10" t="s">
        <v>507</v>
      </c>
      <c r="H548" s="10" t="s">
        <v>25</v>
      </c>
      <c r="I548" s="10" t="s">
        <v>2363</v>
      </c>
    </row>
    <row r="549" customFormat="false" ht="51.75" hidden="false" customHeight="true" outlineLevel="0" collapsed="false">
      <c r="A549" s="9" t="s">
        <v>2364</v>
      </c>
      <c r="B549" s="9" t="s">
        <v>2365</v>
      </c>
      <c r="C549" s="9" t="s">
        <v>2366</v>
      </c>
      <c r="D549" s="9" t="n">
        <v>2017</v>
      </c>
      <c r="E549" s="9" t="s">
        <v>2367</v>
      </c>
      <c r="F549" s="9" t="s">
        <v>2368</v>
      </c>
      <c r="G549" s="9" t="s">
        <v>527</v>
      </c>
      <c r="H549" s="9" t="s">
        <v>25</v>
      </c>
      <c r="I549" s="9" t="s">
        <v>2369</v>
      </c>
    </row>
    <row r="550" customFormat="false" ht="51.75" hidden="false" customHeight="true" outlineLevel="0" collapsed="false">
      <c r="A550" s="10" t="s">
        <v>2370</v>
      </c>
      <c r="B550" s="10" t="s">
        <v>87</v>
      </c>
      <c r="C550" s="10" t="s">
        <v>86</v>
      </c>
      <c r="D550" s="10" t="n">
        <v>2017</v>
      </c>
      <c r="E550" s="10" t="s">
        <v>32</v>
      </c>
      <c r="F550" s="10" t="s">
        <v>88</v>
      </c>
      <c r="G550" s="10" t="s">
        <v>507</v>
      </c>
      <c r="H550" s="10" t="s">
        <v>25</v>
      </c>
      <c r="I550" s="10" t="s">
        <v>2371</v>
      </c>
    </row>
    <row r="551" customFormat="false" ht="51.75" hidden="false" customHeight="true" outlineLevel="0" collapsed="false">
      <c r="A551" s="9" t="s">
        <v>2370</v>
      </c>
      <c r="B551" s="9" t="s">
        <v>87</v>
      </c>
      <c r="C551" s="9" t="s">
        <v>86</v>
      </c>
      <c r="D551" s="9" t="n">
        <v>2017</v>
      </c>
      <c r="E551" s="9" t="s">
        <v>32</v>
      </c>
      <c r="F551" s="9" t="s">
        <v>88</v>
      </c>
      <c r="G551" s="9" t="s">
        <v>527</v>
      </c>
      <c r="H551" s="9" t="s">
        <v>25</v>
      </c>
      <c r="I551" s="9" t="s">
        <v>2371</v>
      </c>
    </row>
    <row r="552" customFormat="false" ht="51.75" hidden="false" customHeight="true" outlineLevel="0" collapsed="false">
      <c r="A552" s="10" t="s">
        <v>2372</v>
      </c>
      <c r="B552" s="10" t="s">
        <v>2373</v>
      </c>
      <c r="C552" s="10" t="s">
        <v>2374</v>
      </c>
      <c r="D552" s="10" t="n">
        <v>2017</v>
      </c>
      <c r="E552" s="10" t="s">
        <v>130</v>
      </c>
      <c r="F552" s="10" t="s">
        <v>2375</v>
      </c>
      <c r="G552" s="10" t="s">
        <v>507</v>
      </c>
      <c r="H552" s="10" t="s">
        <v>25</v>
      </c>
      <c r="I552" s="10" t="s">
        <v>2376</v>
      </c>
    </row>
    <row r="553" customFormat="false" ht="39" hidden="false" customHeight="true" outlineLevel="0" collapsed="false">
      <c r="A553" s="9" t="s">
        <v>2377</v>
      </c>
      <c r="B553" s="9" t="s">
        <v>2378</v>
      </c>
      <c r="C553" s="9" t="s">
        <v>2379</v>
      </c>
      <c r="D553" s="9" t="n">
        <v>2017</v>
      </c>
      <c r="E553" s="9" t="s">
        <v>2380</v>
      </c>
      <c r="F553" s="9" t="s">
        <v>2381</v>
      </c>
      <c r="G553" s="9" t="s">
        <v>507</v>
      </c>
      <c r="H553" s="9" t="s">
        <v>25</v>
      </c>
      <c r="I553" s="9" t="s">
        <v>2382</v>
      </c>
    </row>
    <row r="554" customFormat="false" ht="39" hidden="false" customHeight="true" outlineLevel="0" collapsed="false">
      <c r="A554" s="10" t="s">
        <v>2383</v>
      </c>
      <c r="B554" s="10" t="s">
        <v>2384</v>
      </c>
      <c r="C554" s="10" t="s">
        <v>2385</v>
      </c>
      <c r="D554" s="10" t="n">
        <v>2017</v>
      </c>
      <c r="E554" s="10" t="s">
        <v>58</v>
      </c>
      <c r="F554" s="10" t="s">
        <v>2386</v>
      </c>
      <c r="G554" s="10" t="s">
        <v>507</v>
      </c>
      <c r="H554" s="10" t="s">
        <v>335</v>
      </c>
      <c r="I554" s="10" t="s">
        <v>2387</v>
      </c>
    </row>
    <row r="555" customFormat="false" ht="39" hidden="false" customHeight="true" outlineLevel="0" collapsed="false">
      <c r="A555" s="9" t="s">
        <v>2383</v>
      </c>
      <c r="B555" s="9" t="s">
        <v>2384</v>
      </c>
      <c r="C555" s="9" t="s">
        <v>2385</v>
      </c>
      <c r="D555" s="9" t="n">
        <v>2017</v>
      </c>
      <c r="E555" s="9" t="s">
        <v>58</v>
      </c>
      <c r="F555" s="9" t="s">
        <v>2386</v>
      </c>
      <c r="G555" s="9" t="s">
        <v>527</v>
      </c>
      <c r="H555" s="9" t="s">
        <v>335</v>
      </c>
      <c r="I555" s="9" t="s">
        <v>2387</v>
      </c>
    </row>
    <row r="556" customFormat="false" ht="64.5" hidden="false" customHeight="true" outlineLevel="0" collapsed="false">
      <c r="A556" s="10" t="s">
        <v>2388</v>
      </c>
      <c r="B556" s="10" t="s">
        <v>2389</v>
      </c>
      <c r="C556" s="10" t="s">
        <v>2390</v>
      </c>
      <c r="D556" s="10" t="n">
        <v>2017</v>
      </c>
      <c r="E556" s="10" t="s">
        <v>130</v>
      </c>
      <c r="F556" s="10" t="s">
        <v>2391</v>
      </c>
      <c r="G556" s="10" t="s">
        <v>507</v>
      </c>
      <c r="H556" s="10" t="s">
        <v>25</v>
      </c>
      <c r="I556" s="10" t="s">
        <v>2392</v>
      </c>
    </row>
    <row r="557" customFormat="false" ht="64.5" hidden="false" customHeight="true" outlineLevel="0" collapsed="false">
      <c r="A557" s="9" t="s">
        <v>2388</v>
      </c>
      <c r="B557" s="9" t="s">
        <v>2389</v>
      </c>
      <c r="C557" s="9" t="s">
        <v>2390</v>
      </c>
      <c r="D557" s="9" t="n">
        <v>2017</v>
      </c>
      <c r="E557" s="9" t="s">
        <v>130</v>
      </c>
      <c r="F557" s="9" t="s">
        <v>2391</v>
      </c>
      <c r="G557" s="9" t="s">
        <v>527</v>
      </c>
      <c r="H557" s="9" t="s">
        <v>25</v>
      </c>
      <c r="I557" s="9" t="s">
        <v>2392</v>
      </c>
    </row>
    <row r="558" customFormat="false" ht="25.5" hidden="false" customHeight="true" outlineLevel="0" collapsed="false">
      <c r="A558" s="10" t="s">
        <v>2393</v>
      </c>
      <c r="B558" s="10" t="s">
        <v>2394</v>
      </c>
      <c r="C558" s="10" t="s">
        <v>2395</v>
      </c>
      <c r="D558" s="10" t="n">
        <v>2017</v>
      </c>
      <c r="E558" s="10" t="s">
        <v>1018</v>
      </c>
      <c r="F558" s="10" t="s">
        <v>2396</v>
      </c>
      <c r="G558" s="10" t="s">
        <v>507</v>
      </c>
      <c r="H558" s="10" t="s">
        <v>335</v>
      </c>
      <c r="I558" s="10" t="s">
        <v>2397</v>
      </c>
    </row>
    <row r="559" customFormat="false" ht="39" hidden="false" customHeight="true" outlineLevel="0" collapsed="false">
      <c r="A559" s="9" t="s">
        <v>2398</v>
      </c>
      <c r="B559" s="9" t="s">
        <v>2399</v>
      </c>
      <c r="C559" s="9" t="s">
        <v>2400</v>
      </c>
      <c r="D559" s="9" t="n">
        <v>2017</v>
      </c>
      <c r="E559" s="9" t="s">
        <v>2401</v>
      </c>
      <c r="F559" s="9" t="s">
        <v>281</v>
      </c>
      <c r="G559" s="9" t="s">
        <v>507</v>
      </c>
      <c r="H559" s="9" t="s">
        <v>25</v>
      </c>
      <c r="I559" s="9" t="s">
        <v>2402</v>
      </c>
    </row>
    <row r="560" customFormat="false" ht="51.75" hidden="false" customHeight="true" outlineLevel="0" collapsed="false">
      <c r="A560" s="10" t="s">
        <v>2403</v>
      </c>
      <c r="B560" s="10" t="s">
        <v>2404</v>
      </c>
      <c r="C560" s="10" t="s">
        <v>2405</v>
      </c>
      <c r="D560" s="10" t="n">
        <v>2017</v>
      </c>
      <c r="E560" s="10" t="s">
        <v>2406</v>
      </c>
      <c r="F560" s="10"/>
      <c r="G560" s="10" t="s">
        <v>527</v>
      </c>
      <c r="H560" s="10" t="s">
        <v>25</v>
      </c>
      <c r="I560" s="10" t="s">
        <v>2407</v>
      </c>
    </row>
    <row r="561" customFormat="false" ht="78" hidden="false" customHeight="true" outlineLevel="0" collapsed="false">
      <c r="A561" s="9" t="s">
        <v>2408</v>
      </c>
      <c r="B561" s="9" t="s">
        <v>80</v>
      </c>
      <c r="C561" s="9" t="s">
        <v>79</v>
      </c>
      <c r="D561" s="9" t="n">
        <v>2017</v>
      </c>
      <c r="E561" s="9" t="s">
        <v>81</v>
      </c>
      <c r="F561" s="9" t="s">
        <v>82</v>
      </c>
      <c r="G561" s="9" t="s">
        <v>507</v>
      </c>
      <c r="H561" s="9" t="s">
        <v>25</v>
      </c>
      <c r="I561" s="9" t="s">
        <v>2409</v>
      </c>
    </row>
    <row r="562" customFormat="false" ht="78" hidden="false" customHeight="true" outlineLevel="0" collapsed="false">
      <c r="A562" s="10" t="s">
        <v>2408</v>
      </c>
      <c r="B562" s="10" t="s">
        <v>80</v>
      </c>
      <c r="C562" s="10" t="s">
        <v>79</v>
      </c>
      <c r="D562" s="10" t="n">
        <v>2017</v>
      </c>
      <c r="E562" s="10" t="s">
        <v>81</v>
      </c>
      <c r="F562" s="10" t="s">
        <v>82</v>
      </c>
      <c r="G562" s="10" t="s">
        <v>527</v>
      </c>
      <c r="H562" s="10" t="s">
        <v>25</v>
      </c>
      <c r="I562" s="10" t="s">
        <v>2409</v>
      </c>
    </row>
    <row r="563" customFormat="false" ht="51.75" hidden="false" customHeight="true" outlineLevel="0" collapsed="false">
      <c r="A563" s="9" t="s">
        <v>2410</v>
      </c>
      <c r="B563" s="9" t="s">
        <v>2411</v>
      </c>
      <c r="C563" s="9" t="s">
        <v>2412</v>
      </c>
      <c r="D563" s="9" t="n">
        <v>2017</v>
      </c>
      <c r="E563" s="9" t="s">
        <v>2413</v>
      </c>
      <c r="F563" s="9" t="s">
        <v>2414</v>
      </c>
      <c r="G563" s="9" t="s">
        <v>507</v>
      </c>
      <c r="H563" s="9" t="s">
        <v>25</v>
      </c>
      <c r="I563" s="9" t="s">
        <v>2415</v>
      </c>
    </row>
    <row r="564" customFormat="false" ht="39" hidden="false" customHeight="true" outlineLevel="0" collapsed="false">
      <c r="A564" s="10" t="s">
        <v>2416</v>
      </c>
      <c r="B564" s="10" t="s">
        <v>2417</v>
      </c>
      <c r="C564" s="10" t="s">
        <v>2418</v>
      </c>
      <c r="D564" s="10" t="n">
        <v>2017</v>
      </c>
      <c r="E564" s="10" t="s">
        <v>107</v>
      </c>
      <c r="F564" s="10" t="s">
        <v>2419</v>
      </c>
      <c r="G564" s="10" t="s">
        <v>527</v>
      </c>
      <c r="H564" s="10" t="s">
        <v>25</v>
      </c>
      <c r="I564" s="10" t="s">
        <v>2420</v>
      </c>
    </row>
    <row r="565" customFormat="false" ht="25.5" hidden="false" customHeight="true" outlineLevel="0" collapsed="false">
      <c r="A565" s="9" t="s">
        <v>2421</v>
      </c>
      <c r="B565" s="9" t="s">
        <v>2422</v>
      </c>
      <c r="C565" s="9" t="s">
        <v>2423</v>
      </c>
      <c r="D565" s="9" t="n">
        <v>2017</v>
      </c>
      <c r="E565" s="9" t="s">
        <v>134</v>
      </c>
      <c r="F565" s="9" t="s">
        <v>2424</v>
      </c>
      <c r="G565" s="9" t="s">
        <v>507</v>
      </c>
      <c r="H565" s="9" t="s">
        <v>335</v>
      </c>
      <c r="I565" s="9" t="s">
        <v>2425</v>
      </c>
    </row>
    <row r="566" customFormat="false" ht="25.5" hidden="false" customHeight="true" outlineLevel="0" collapsed="false">
      <c r="A566" s="10" t="s">
        <v>2426</v>
      </c>
      <c r="B566" s="10" t="s">
        <v>2427</v>
      </c>
      <c r="C566" s="10" t="s">
        <v>2428</v>
      </c>
      <c r="D566" s="10" t="n">
        <v>2017</v>
      </c>
      <c r="E566" s="10" t="s">
        <v>2429</v>
      </c>
      <c r="F566" s="10" t="s">
        <v>2430</v>
      </c>
      <c r="G566" s="10" t="s">
        <v>507</v>
      </c>
      <c r="H566" s="10" t="s">
        <v>25</v>
      </c>
      <c r="I566" s="10" t="s">
        <v>2431</v>
      </c>
    </row>
    <row r="567" customFormat="false" ht="25.5" hidden="false" customHeight="true" outlineLevel="0" collapsed="false">
      <c r="A567" s="9" t="s">
        <v>2426</v>
      </c>
      <c r="B567" s="9" t="s">
        <v>2427</v>
      </c>
      <c r="C567" s="9" t="s">
        <v>2428</v>
      </c>
      <c r="D567" s="9" t="n">
        <v>2017</v>
      </c>
      <c r="E567" s="9" t="s">
        <v>2429</v>
      </c>
      <c r="F567" s="9" t="s">
        <v>2430</v>
      </c>
      <c r="G567" s="9" t="s">
        <v>527</v>
      </c>
      <c r="H567" s="9" t="s">
        <v>25</v>
      </c>
      <c r="I567" s="9" t="s">
        <v>2431</v>
      </c>
    </row>
    <row r="568" customFormat="false" ht="39" hidden="false" customHeight="true" outlineLevel="0" collapsed="false">
      <c r="A568" s="10" t="s">
        <v>2432</v>
      </c>
      <c r="B568" s="10" t="s">
        <v>2433</v>
      </c>
      <c r="C568" s="10" t="s">
        <v>2434</v>
      </c>
      <c r="D568" s="10" t="n">
        <v>2017</v>
      </c>
      <c r="E568" s="10" t="s">
        <v>2435</v>
      </c>
      <c r="F568" s="10" t="s">
        <v>2436</v>
      </c>
      <c r="G568" s="10" t="s">
        <v>527</v>
      </c>
      <c r="H568" s="10" t="s">
        <v>335</v>
      </c>
      <c r="I568" s="10" t="s">
        <v>2437</v>
      </c>
    </row>
    <row r="569" customFormat="false" ht="64.5" hidden="false" customHeight="true" outlineLevel="0" collapsed="false">
      <c r="A569" s="9" t="s">
        <v>2438</v>
      </c>
      <c r="B569" s="9" t="s">
        <v>2439</v>
      </c>
      <c r="C569" s="9" t="s">
        <v>2440</v>
      </c>
      <c r="D569" s="9" t="n">
        <v>2017</v>
      </c>
      <c r="E569" s="9" t="s">
        <v>107</v>
      </c>
      <c r="F569" s="9" t="s">
        <v>2441</v>
      </c>
      <c r="G569" s="9" t="s">
        <v>507</v>
      </c>
      <c r="H569" s="9" t="s">
        <v>25</v>
      </c>
      <c r="I569" s="9" t="s">
        <v>2442</v>
      </c>
    </row>
    <row r="570" customFormat="false" ht="51.75" hidden="false" customHeight="true" outlineLevel="0" collapsed="false">
      <c r="A570" s="10" t="s">
        <v>2443</v>
      </c>
      <c r="B570" s="10" t="s">
        <v>2444</v>
      </c>
      <c r="C570" s="10" t="s">
        <v>2445</v>
      </c>
      <c r="D570" s="10" t="n">
        <v>2017</v>
      </c>
      <c r="E570" s="10" t="s">
        <v>2446</v>
      </c>
      <c r="F570" s="10" t="s">
        <v>2447</v>
      </c>
      <c r="G570" s="10" t="s">
        <v>507</v>
      </c>
      <c r="H570" s="10" t="s">
        <v>25</v>
      </c>
      <c r="I570" s="10" t="s">
        <v>2448</v>
      </c>
    </row>
    <row r="571" customFormat="false" ht="51.75" hidden="false" customHeight="true" outlineLevel="0" collapsed="false">
      <c r="A571" s="9" t="s">
        <v>2443</v>
      </c>
      <c r="B571" s="9" t="s">
        <v>2444</v>
      </c>
      <c r="C571" s="9" t="s">
        <v>2445</v>
      </c>
      <c r="D571" s="9" t="n">
        <v>2017</v>
      </c>
      <c r="E571" s="9" t="s">
        <v>2446</v>
      </c>
      <c r="F571" s="9" t="s">
        <v>2447</v>
      </c>
      <c r="G571" s="9" t="s">
        <v>527</v>
      </c>
      <c r="H571" s="9" t="s">
        <v>25</v>
      </c>
      <c r="I571" s="9" t="s">
        <v>2448</v>
      </c>
    </row>
    <row r="572" customFormat="false" ht="51.75" hidden="false" customHeight="true" outlineLevel="0" collapsed="false">
      <c r="A572" s="10" t="s">
        <v>2449</v>
      </c>
      <c r="B572" s="10" t="s">
        <v>2450</v>
      </c>
      <c r="C572" s="10" t="s">
        <v>2451</v>
      </c>
      <c r="D572" s="10" t="n">
        <v>2017</v>
      </c>
      <c r="E572" s="10" t="s">
        <v>107</v>
      </c>
      <c r="F572" s="10" t="s">
        <v>2452</v>
      </c>
      <c r="G572" s="10" t="s">
        <v>507</v>
      </c>
      <c r="H572" s="10" t="s">
        <v>25</v>
      </c>
      <c r="I572" s="10" t="s">
        <v>2453</v>
      </c>
    </row>
    <row r="573" customFormat="false" ht="51.75" hidden="false" customHeight="true" outlineLevel="0" collapsed="false">
      <c r="A573" s="9" t="s">
        <v>2449</v>
      </c>
      <c r="B573" s="9" t="s">
        <v>2450</v>
      </c>
      <c r="C573" s="9" t="s">
        <v>2451</v>
      </c>
      <c r="D573" s="9" t="n">
        <v>2017</v>
      </c>
      <c r="E573" s="9" t="s">
        <v>107</v>
      </c>
      <c r="F573" s="9" t="s">
        <v>2452</v>
      </c>
      <c r="G573" s="9" t="s">
        <v>527</v>
      </c>
      <c r="H573" s="9" t="s">
        <v>25</v>
      </c>
      <c r="I573" s="9" t="s">
        <v>2453</v>
      </c>
    </row>
    <row r="574" customFormat="false" ht="39" hidden="false" customHeight="true" outlineLevel="0" collapsed="false">
      <c r="A574" s="10" t="s">
        <v>2454</v>
      </c>
      <c r="B574" s="10" t="s">
        <v>2126</v>
      </c>
      <c r="C574" s="10" t="s">
        <v>2127</v>
      </c>
      <c r="D574" s="10" t="n">
        <v>2017</v>
      </c>
      <c r="E574" s="10" t="s">
        <v>2455</v>
      </c>
      <c r="F574" s="10" t="s">
        <v>2456</v>
      </c>
      <c r="G574" s="10" t="s">
        <v>507</v>
      </c>
      <c r="H574" s="10" t="s">
        <v>25</v>
      </c>
      <c r="I574" s="10" t="s">
        <v>2457</v>
      </c>
    </row>
    <row r="575" customFormat="false" ht="39" hidden="false" customHeight="true" outlineLevel="0" collapsed="false">
      <c r="A575" s="9" t="s">
        <v>2454</v>
      </c>
      <c r="B575" s="9" t="s">
        <v>2126</v>
      </c>
      <c r="C575" s="9" t="s">
        <v>2127</v>
      </c>
      <c r="D575" s="9" t="n">
        <v>2017</v>
      </c>
      <c r="E575" s="9" t="s">
        <v>2455</v>
      </c>
      <c r="F575" s="9" t="s">
        <v>2456</v>
      </c>
      <c r="G575" s="9" t="s">
        <v>527</v>
      </c>
      <c r="H575" s="9" t="s">
        <v>25</v>
      </c>
      <c r="I575" s="9" t="s">
        <v>2457</v>
      </c>
    </row>
    <row r="576" customFormat="false" ht="39" hidden="false" customHeight="true" outlineLevel="0" collapsed="false">
      <c r="A576" s="10" t="s">
        <v>2458</v>
      </c>
      <c r="B576" s="10" t="s">
        <v>2459</v>
      </c>
      <c r="C576" s="10" t="s">
        <v>2460</v>
      </c>
      <c r="D576" s="10" t="n">
        <v>2017</v>
      </c>
      <c r="E576" s="10" t="s">
        <v>81</v>
      </c>
      <c r="F576" s="10" t="s">
        <v>2461</v>
      </c>
      <c r="G576" s="10" t="s">
        <v>527</v>
      </c>
      <c r="H576" s="10" t="s">
        <v>25</v>
      </c>
      <c r="I576" s="10" t="s">
        <v>2462</v>
      </c>
    </row>
    <row r="577" customFormat="false" ht="51.75" hidden="false" customHeight="true" outlineLevel="0" collapsed="false">
      <c r="A577" s="9" t="s">
        <v>2463</v>
      </c>
      <c r="B577" s="9" t="s">
        <v>2464</v>
      </c>
      <c r="C577" s="9" t="s">
        <v>2465</v>
      </c>
      <c r="D577" s="9" t="n">
        <v>2017</v>
      </c>
      <c r="E577" s="9" t="s">
        <v>107</v>
      </c>
      <c r="F577" s="9" t="s">
        <v>2466</v>
      </c>
      <c r="G577" s="9" t="s">
        <v>507</v>
      </c>
      <c r="H577" s="9" t="s">
        <v>25</v>
      </c>
      <c r="I577" s="9" t="s">
        <v>2467</v>
      </c>
    </row>
    <row r="578" customFormat="false" ht="51.75" hidden="false" customHeight="true" outlineLevel="0" collapsed="false">
      <c r="A578" s="10" t="s">
        <v>2463</v>
      </c>
      <c r="B578" s="10" t="s">
        <v>2464</v>
      </c>
      <c r="C578" s="10" t="s">
        <v>2465</v>
      </c>
      <c r="D578" s="10" t="n">
        <v>2017</v>
      </c>
      <c r="E578" s="10" t="s">
        <v>107</v>
      </c>
      <c r="F578" s="10" t="s">
        <v>2466</v>
      </c>
      <c r="G578" s="10" t="s">
        <v>527</v>
      </c>
      <c r="H578" s="10" t="s">
        <v>25</v>
      </c>
      <c r="I578" s="10" t="s">
        <v>2467</v>
      </c>
    </row>
    <row r="579" customFormat="false" ht="51.75" hidden="false" customHeight="true" outlineLevel="0" collapsed="false">
      <c r="A579" s="9" t="s">
        <v>2468</v>
      </c>
      <c r="B579" s="9" t="s">
        <v>267</v>
      </c>
      <c r="C579" s="9" t="s">
        <v>266</v>
      </c>
      <c r="D579" s="9" t="n">
        <v>2017</v>
      </c>
      <c r="E579" s="9" t="s">
        <v>268</v>
      </c>
      <c r="F579" s="9" t="s">
        <v>269</v>
      </c>
      <c r="G579" s="9" t="s">
        <v>507</v>
      </c>
      <c r="H579" s="9" t="s">
        <v>25</v>
      </c>
      <c r="I579" s="9" t="s">
        <v>2469</v>
      </c>
    </row>
    <row r="580" customFormat="false" ht="51.75" hidden="false" customHeight="true" outlineLevel="0" collapsed="false">
      <c r="A580" s="10" t="s">
        <v>2468</v>
      </c>
      <c r="B580" s="10" t="s">
        <v>267</v>
      </c>
      <c r="C580" s="10" t="s">
        <v>266</v>
      </c>
      <c r="D580" s="10" t="n">
        <v>2017</v>
      </c>
      <c r="E580" s="10" t="s">
        <v>268</v>
      </c>
      <c r="F580" s="10" t="s">
        <v>269</v>
      </c>
      <c r="G580" s="10" t="s">
        <v>527</v>
      </c>
      <c r="H580" s="10" t="s">
        <v>25</v>
      </c>
      <c r="I580" s="10" t="s">
        <v>2469</v>
      </c>
    </row>
    <row r="581" customFormat="false" ht="39" hidden="false" customHeight="true" outlineLevel="0" collapsed="false">
      <c r="A581" s="9" t="s">
        <v>2470</v>
      </c>
      <c r="B581" s="9" t="s">
        <v>133</v>
      </c>
      <c r="C581" s="9" t="s">
        <v>132</v>
      </c>
      <c r="D581" s="9" t="n">
        <v>2017</v>
      </c>
      <c r="E581" s="9" t="s">
        <v>134</v>
      </c>
      <c r="F581" s="9" t="s">
        <v>135</v>
      </c>
      <c r="G581" s="9" t="s">
        <v>527</v>
      </c>
      <c r="H581" s="9" t="s">
        <v>25</v>
      </c>
      <c r="I581" s="9" t="s">
        <v>2471</v>
      </c>
    </row>
    <row r="582" customFormat="false" ht="51.75" hidden="false" customHeight="true" outlineLevel="0" collapsed="false">
      <c r="A582" s="10" t="s">
        <v>2472</v>
      </c>
      <c r="B582" s="10" t="s">
        <v>116</v>
      </c>
      <c r="C582" s="10" t="s">
        <v>115</v>
      </c>
      <c r="D582" s="10" t="n">
        <v>2017</v>
      </c>
      <c r="E582" s="10" t="s">
        <v>117</v>
      </c>
      <c r="F582" s="10" t="s">
        <v>118</v>
      </c>
      <c r="G582" s="10" t="s">
        <v>507</v>
      </c>
      <c r="H582" s="10" t="s">
        <v>25</v>
      </c>
      <c r="I582" s="10" t="s">
        <v>2473</v>
      </c>
    </row>
    <row r="583" customFormat="false" ht="51.75" hidden="false" customHeight="true" outlineLevel="0" collapsed="false">
      <c r="A583" s="9" t="s">
        <v>2472</v>
      </c>
      <c r="B583" s="9" t="s">
        <v>116</v>
      </c>
      <c r="C583" s="9" t="s">
        <v>115</v>
      </c>
      <c r="D583" s="9" t="n">
        <v>2017</v>
      </c>
      <c r="E583" s="9" t="s">
        <v>117</v>
      </c>
      <c r="F583" s="9" t="s">
        <v>118</v>
      </c>
      <c r="G583" s="9" t="s">
        <v>527</v>
      </c>
      <c r="H583" s="9" t="s">
        <v>25</v>
      </c>
      <c r="I583" s="9" t="s">
        <v>2473</v>
      </c>
    </row>
    <row r="584" customFormat="false" ht="25.5" hidden="false" customHeight="true" outlineLevel="0" collapsed="false">
      <c r="A584" s="10" t="s">
        <v>2474</v>
      </c>
      <c r="B584" s="10" t="s">
        <v>2475</v>
      </c>
      <c r="C584" s="10" t="s">
        <v>2476</v>
      </c>
      <c r="D584" s="10" t="n">
        <v>2017</v>
      </c>
      <c r="E584" s="10" t="s">
        <v>107</v>
      </c>
      <c r="F584" s="10" t="s">
        <v>2477</v>
      </c>
      <c r="G584" s="10" t="s">
        <v>527</v>
      </c>
      <c r="H584" s="10" t="s">
        <v>25</v>
      </c>
      <c r="I584" s="10" t="s">
        <v>2478</v>
      </c>
    </row>
    <row r="585" customFormat="false" ht="39" hidden="false" customHeight="true" outlineLevel="0" collapsed="false">
      <c r="A585" s="9" t="s">
        <v>2479</v>
      </c>
      <c r="B585" s="9" t="s">
        <v>2480</v>
      </c>
      <c r="C585" s="9" t="s">
        <v>2481</v>
      </c>
      <c r="D585" s="9" t="n">
        <v>2017</v>
      </c>
      <c r="E585" s="9" t="s">
        <v>2482</v>
      </c>
      <c r="F585" s="9" t="s">
        <v>2483</v>
      </c>
      <c r="G585" s="9" t="s">
        <v>527</v>
      </c>
      <c r="H585" s="9" t="s">
        <v>25</v>
      </c>
      <c r="I585" s="9" t="s">
        <v>2484</v>
      </c>
    </row>
    <row r="586" customFormat="false" ht="39" hidden="false" customHeight="true" outlineLevel="0" collapsed="false">
      <c r="A586" s="10" t="s">
        <v>2485</v>
      </c>
      <c r="B586" s="10" t="s">
        <v>2486</v>
      </c>
      <c r="C586" s="10" t="s">
        <v>2487</v>
      </c>
      <c r="D586" s="10" t="n">
        <v>2017</v>
      </c>
      <c r="E586" s="10" t="s">
        <v>1359</v>
      </c>
      <c r="F586" s="10" t="s">
        <v>2488</v>
      </c>
      <c r="G586" s="10" t="s">
        <v>507</v>
      </c>
      <c r="H586" s="10" t="s">
        <v>25</v>
      </c>
      <c r="I586" s="10" t="s">
        <v>2489</v>
      </c>
    </row>
    <row r="587" customFormat="false" ht="25.5" hidden="false" customHeight="true" outlineLevel="0" collapsed="false">
      <c r="A587" s="9" t="s">
        <v>2490</v>
      </c>
      <c r="B587" s="9" t="s">
        <v>2491</v>
      </c>
      <c r="C587" s="9" t="s">
        <v>2492</v>
      </c>
      <c r="D587" s="9" t="n">
        <v>2017</v>
      </c>
      <c r="E587" s="9" t="s">
        <v>268</v>
      </c>
      <c r="F587" s="9" t="s">
        <v>2493</v>
      </c>
      <c r="G587" s="9" t="s">
        <v>527</v>
      </c>
      <c r="H587" s="9" t="s">
        <v>25</v>
      </c>
      <c r="I587" s="9" t="s">
        <v>2494</v>
      </c>
    </row>
    <row r="588" customFormat="false" ht="25.5" hidden="false" customHeight="true" outlineLevel="0" collapsed="false">
      <c r="A588" s="10" t="s">
        <v>2495</v>
      </c>
      <c r="B588" s="10" t="s">
        <v>2496</v>
      </c>
      <c r="C588" s="10" t="s">
        <v>2497</v>
      </c>
      <c r="D588" s="10" t="n">
        <v>2017</v>
      </c>
      <c r="E588" s="10" t="s">
        <v>2435</v>
      </c>
      <c r="F588" s="10" t="s">
        <v>2498</v>
      </c>
      <c r="G588" s="10" t="s">
        <v>527</v>
      </c>
      <c r="H588" s="10" t="s">
        <v>25</v>
      </c>
      <c r="I588" s="10" t="s">
        <v>2499</v>
      </c>
    </row>
    <row r="589" customFormat="false" ht="64.5" hidden="false" customHeight="true" outlineLevel="0" collapsed="false">
      <c r="A589" s="9" t="s">
        <v>2500</v>
      </c>
      <c r="B589" s="9" t="s">
        <v>2501</v>
      </c>
      <c r="C589" s="9" t="s">
        <v>2502</v>
      </c>
      <c r="D589" s="9" t="n">
        <v>2017</v>
      </c>
      <c r="E589" s="9" t="s">
        <v>288</v>
      </c>
      <c r="F589" s="9" t="s">
        <v>2503</v>
      </c>
      <c r="G589" s="9" t="s">
        <v>527</v>
      </c>
      <c r="H589" s="9" t="s">
        <v>335</v>
      </c>
      <c r="I589" s="9" t="s">
        <v>2504</v>
      </c>
    </row>
    <row r="590" customFormat="false" ht="51.75" hidden="false" customHeight="true" outlineLevel="0" collapsed="false">
      <c r="A590" s="10" t="s">
        <v>2505</v>
      </c>
      <c r="B590" s="10" t="s">
        <v>2506</v>
      </c>
      <c r="C590" s="10" t="s">
        <v>2507</v>
      </c>
      <c r="D590" s="10" t="n">
        <v>2017</v>
      </c>
      <c r="E590" s="10" t="s">
        <v>2508</v>
      </c>
      <c r="F590" s="10" t="s">
        <v>2509</v>
      </c>
      <c r="G590" s="10" t="s">
        <v>527</v>
      </c>
      <c r="H590" s="10" t="s">
        <v>25</v>
      </c>
      <c r="I590" s="10" t="s">
        <v>2510</v>
      </c>
    </row>
    <row r="591" customFormat="false" ht="64.5" hidden="false" customHeight="true" outlineLevel="0" collapsed="false">
      <c r="A591" s="9" t="s">
        <v>2511</v>
      </c>
      <c r="B591" s="9" t="s">
        <v>2512</v>
      </c>
      <c r="C591" s="9" t="s">
        <v>2513</v>
      </c>
      <c r="D591" s="9" t="n">
        <v>2017</v>
      </c>
      <c r="E591" s="9" t="s">
        <v>107</v>
      </c>
      <c r="F591" s="9" t="s">
        <v>2514</v>
      </c>
      <c r="G591" s="9" t="s">
        <v>507</v>
      </c>
      <c r="H591" s="9" t="s">
        <v>25</v>
      </c>
      <c r="I591" s="9" t="s">
        <v>2515</v>
      </c>
    </row>
    <row r="592" customFormat="false" ht="39" hidden="false" customHeight="true" outlineLevel="0" collapsed="false">
      <c r="A592" s="10" t="s">
        <v>2516</v>
      </c>
      <c r="B592" s="10" t="s">
        <v>2517</v>
      </c>
      <c r="C592" s="10" t="s">
        <v>2518</v>
      </c>
      <c r="D592" s="10" t="n">
        <v>2017</v>
      </c>
      <c r="E592" s="10" t="s">
        <v>766</v>
      </c>
      <c r="F592" s="10" t="s">
        <v>2519</v>
      </c>
      <c r="G592" s="10" t="s">
        <v>507</v>
      </c>
      <c r="H592" s="10" t="s">
        <v>25</v>
      </c>
      <c r="I592" s="10" t="s">
        <v>2520</v>
      </c>
    </row>
    <row r="593" customFormat="false" ht="51.75" hidden="false" customHeight="true" outlineLevel="0" collapsed="false">
      <c r="A593" s="9" t="s">
        <v>2521</v>
      </c>
      <c r="B593" s="9" t="s">
        <v>2522</v>
      </c>
      <c r="C593" s="9" t="s">
        <v>2523</v>
      </c>
      <c r="D593" s="9" t="n">
        <v>2017</v>
      </c>
      <c r="E593" s="9" t="s">
        <v>107</v>
      </c>
      <c r="F593" s="9" t="s">
        <v>2524</v>
      </c>
      <c r="G593" s="9" t="s">
        <v>527</v>
      </c>
      <c r="H593" s="9" t="s">
        <v>25</v>
      </c>
      <c r="I593" s="9" t="s">
        <v>2525</v>
      </c>
    </row>
    <row r="594" customFormat="false" ht="39" hidden="false" customHeight="true" outlineLevel="0" collapsed="false">
      <c r="A594" s="10" t="s">
        <v>2526</v>
      </c>
      <c r="B594" s="10" t="s">
        <v>2527</v>
      </c>
      <c r="C594" s="10" t="s">
        <v>2528</v>
      </c>
      <c r="D594" s="10" t="n">
        <v>2017</v>
      </c>
      <c r="E594" s="10" t="s">
        <v>117</v>
      </c>
      <c r="F594" s="10" t="s">
        <v>2529</v>
      </c>
      <c r="G594" s="10" t="s">
        <v>507</v>
      </c>
      <c r="H594" s="10" t="s">
        <v>25</v>
      </c>
      <c r="I594" s="10" t="s">
        <v>2530</v>
      </c>
    </row>
    <row r="595" customFormat="false" ht="39" hidden="false" customHeight="true" outlineLevel="0" collapsed="false">
      <c r="A595" s="9" t="s">
        <v>2526</v>
      </c>
      <c r="B595" s="9" t="s">
        <v>2527</v>
      </c>
      <c r="C595" s="9" t="s">
        <v>2528</v>
      </c>
      <c r="D595" s="9" t="n">
        <v>2017</v>
      </c>
      <c r="E595" s="9" t="s">
        <v>117</v>
      </c>
      <c r="F595" s="9" t="s">
        <v>2529</v>
      </c>
      <c r="G595" s="9" t="s">
        <v>527</v>
      </c>
      <c r="H595" s="9" t="s">
        <v>25</v>
      </c>
      <c r="I595" s="9" t="s">
        <v>2530</v>
      </c>
    </row>
    <row r="596" customFormat="false" ht="25.5" hidden="false" customHeight="true" outlineLevel="0" collapsed="false">
      <c r="A596" s="10" t="s">
        <v>2531</v>
      </c>
      <c r="B596" s="10" t="s">
        <v>2532</v>
      </c>
      <c r="C596" s="10" t="s">
        <v>2533</v>
      </c>
      <c r="D596" s="10" t="n">
        <v>2017</v>
      </c>
      <c r="E596" s="10" t="s">
        <v>81</v>
      </c>
      <c r="F596" s="10" t="s">
        <v>2534</v>
      </c>
      <c r="G596" s="10" t="s">
        <v>507</v>
      </c>
      <c r="H596" s="10" t="s">
        <v>25</v>
      </c>
      <c r="I596" s="10" t="s">
        <v>2535</v>
      </c>
    </row>
    <row r="597" customFormat="false" ht="39" hidden="false" customHeight="true" outlineLevel="0" collapsed="false">
      <c r="A597" s="9" t="s">
        <v>2536</v>
      </c>
      <c r="B597" s="9" t="s">
        <v>2537</v>
      </c>
      <c r="C597" s="9" t="s">
        <v>2538</v>
      </c>
      <c r="D597" s="9" t="n">
        <v>2017</v>
      </c>
      <c r="E597" s="9" t="s">
        <v>58</v>
      </c>
      <c r="F597" s="9" t="s">
        <v>2539</v>
      </c>
      <c r="G597" s="9" t="s">
        <v>507</v>
      </c>
      <c r="H597" s="9" t="s">
        <v>25</v>
      </c>
      <c r="I597" s="9" t="s">
        <v>2540</v>
      </c>
    </row>
    <row r="598" customFormat="false" ht="39" hidden="false" customHeight="true" outlineLevel="0" collapsed="false">
      <c r="A598" s="10" t="s">
        <v>2541</v>
      </c>
      <c r="B598" s="10" t="s">
        <v>2542</v>
      </c>
      <c r="C598" s="10" t="s">
        <v>2543</v>
      </c>
      <c r="D598" s="10" t="n">
        <v>2017</v>
      </c>
      <c r="E598" s="10" t="s">
        <v>268</v>
      </c>
      <c r="F598" s="10" t="s">
        <v>2544</v>
      </c>
      <c r="G598" s="10" t="s">
        <v>507</v>
      </c>
      <c r="H598" s="10" t="s">
        <v>25</v>
      </c>
      <c r="I598" s="10" t="s">
        <v>2545</v>
      </c>
    </row>
    <row r="599" customFormat="false" ht="39" hidden="false" customHeight="true" outlineLevel="0" collapsed="false">
      <c r="A599" s="9" t="s">
        <v>2546</v>
      </c>
      <c r="B599" s="9" t="s">
        <v>2547</v>
      </c>
      <c r="C599" s="9" t="s">
        <v>2548</v>
      </c>
      <c r="D599" s="9" t="n">
        <v>2017</v>
      </c>
      <c r="E599" s="9" t="s">
        <v>288</v>
      </c>
      <c r="F599" s="9"/>
      <c r="G599" s="9" t="s">
        <v>507</v>
      </c>
      <c r="H599" s="9" t="s">
        <v>25</v>
      </c>
      <c r="I599" s="9" t="s">
        <v>2549</v>
      </c>
    </row>
    <row r="600" customFormat="false" ht="39" hidden="false" customHeight="true" outlineLevel="0" collapsed="false">
      <c r="A600" s="10" t="s">
        <v>2546</v>
      </c>
      <c r="B600" s="10" t="s">
        <v>2547</v>
      </c>
      <c r="C600" s="10" t="s">
        <v>2548</v>
      </c>
      <c r="D600" s="10" t="n">
        <v>2017</v>
      </c>
      <c r="E600" s="10" t="s">
        <v>288</v>
      </c>
      <c r="F600" s="10"/>
      <c r="G600" s="10" t="s">
        <v>527</v>
      </c>
      <c r="H600" s="10" t="s">
        <v>25</v>
      </c>
      <c r="I600" s="10" t="s">
        <v>2549</v>
      </c>
    </row>
    <row r="601" customFormat="false" ht="51.75" hidden="false" customHeight="true" outlineLevel="0" collapsed="false">
      <c r="A601" s="9" t="s">
        <v>2550</v>
      </c>
      <c r="B601" s="9" t="s">
        <v>106</v>
      </c>
      <c r="C601" s="9" t="s">
        <v>105</v>
      </c>
      <c r="D601" s="9" t="n">
        <v>2017</v>
      </c>
      <c r="E601" s="9" t="s">
        <v>107</v>
      </c>
      <c r="F601" s="9" t="s">
        <v>108</v>
      </c>
      <c r="G601" s="9" t="s">
        <v>507</v>
      </c>
      <c r="H601" s="9" t="s">
        <v>25</v>
      </c>
      <c r="I601" s="9" t="s">
        <v>2551</v>
      </c>
    </row>
    <row r="602" customFormat="false" ht="51.75" hidden="false" customHeight="true" outlineLevel="0" collapsed="false">
      <c r="A602" s="10" t="s">
        <v>2550</v>
      </c>
      <c r="B602" s="10" t="s">
        <v>106</v>
      </c>
      <c r="C602" s="10" t="s">
        <v>105</v>
      </c>
      <c r="D602" s="10" t="n">
        <v>2017</v>
      </c>
      <c r="E602" s="10" t="s">
        <v>107</v>
      </c>
      <c r="F602" s="10" t="s">
        <v>108</v>
      </c>
      <c r="G602" s="10" t="s">
        <v>527</v>
      </c>
      <c r="H602" s="10" t="s">
        <v>25</v>
      </c>
      <c r="I602" s="10" t="s">
        <v>2551</v>
      </c>
    </row>
    <row r="603" customFormat="false" ht="51.75" hidden="false" customHeight="true" outlineLevel="0" collapsed="false">
      <c r="A603" s="9" t="s">
        <v>2552</v>
      </c>
      <c r="B603" s="9" t="s">
        <v>2553</v>
      </c>
      <c r="C603" s="9" t="s">
        <v>2554</v>
      </c>
      <c r="D603" s="9" t="n">
        <v>2017</v>
      </c>
      <c r="E603" s="9" t="s">
        <v>2406</v>
      </c>
      <c r="F603" s="9" t="s">
        <v>2555</v>
      </c>
      <c r="G603" s="9" t="s">
        <v>527</v>
      </c>
      <c r="H603" s="9" t="s">
        <v>25</v>
      </c>
      <c r="I603" s="9" t="s">
        <v>2556</v>
      </c>
    </row>
    <row r="604" customFormat="false" ht="51.75" hidden="false" customHeight="true" outlineLevel="0" collapsed="false">
      <c r="A604" s="10" t="s">
        <v>2557</v>
      </c>
      <c r="B604" s="10" t="s">
        <v>2558</v>
      </c>
      <c r="C604" s="10" t="s">
        <v>2559</v>
      </c>
      <c r="D604" s="10" t="n">
        <v>2016</v>
      </c>
      <c r="E604" s="10" t="s">
        <v>2560</v>
      </c>
      <c r="F604" s="10" t="s">
        <v>2561</v>
      </c>
      <c r="G604" s="10" t="s">
        <v>507</v>
      </c>
      <c r="H604" s="10" t="s">
        <v>25</v>
      </c>
      <c r="I604" s="10" t="s">
        <v>2562</v>
      </c>
    </row>
    <row r="605" customFormat="false" ht="51.75" hidden="false" customHeight="true" outlineLevel="0" collapsed="false">
      <c r="A605" s="9" t="s">
        <v>2557</v>
      </c>
      <c r="B605" s="9" t="s">
        <v>2558</v>
      </c>
      <c r="C605" s="9" t="s">
        <v>2559</v>
      </c>
      <c r="D605" s="9" t="n">
        <v>2016</v>
      </c>
      <c r="E605" s="9" t="s">
        <v>2560</v>
      </c>
      <c r="F605" s="9" t="s">
        <v>2561</v>
      </c>
      <c r="G605" s="9" t="s">
        <v>527</v>
      </c>
      <c r="H605" s="9" t="s">
        <v>25</v>
      </c>
      <c r="I605" s="9" t="s">
        <v>2562</v>
      </c>
    </row>
    <row r="606" customFormat="false" ht="64.5" hidden="false" customHeight="true" outlineLevel="0" collapsed="false">
      <c r="A606" s="10" t="s">
        <v>2563</v>
      </c>
      <c r="B606" s="10" t="s">
        <v>2389</v>
      </c>
      <c r="C606" s="10" t="s">
        <v>2390</v>
      </c>
      <c r="D606" s="10" t="n">
        <v>2016</v>
      </c>
      <c r="E606" s="10" t="s">
        <v>103</v>
      </c>
      <c r="F606" s="10" t="s">
        <v>2564</v>
      </c>
      <c r="G606" s="10" t="s">
        <v>507</v>
      </c>
      <c r="H606" s="10" t="s">
        <v>25</v>
      </c>
      <c r="I606" s="10" t="s">
        <v>2565</v>
      </c>
    </row>
    <row r="607" customFormat="false" ht="64.5" hidden="false" customHeight="true" outlineLevel="0" collapsed="false">
      <c r="A607" s="9" t="s">
        <v>2563</v>
      </c>
      <c r="B607" s="9" t="s">
        <v>2389</v>
      </c>
      <c r="C607" s="9" t="s">
        <v>2390</v>
      </c>
      <c r="D607" s="9" t="n">
        <v>2016</v>
      </c>
      <c r="E607" s="9" t="s">
        <v>103</v>
      </c>
      <c r="F607" s="9" t="s">
        <v>2564</v>
      </c>
      <c r="G607" s="9" t="s">
        <v>527</v>
      </c>
      <c r="H607" s="9" t="s">
        <v>25</v>
      </c>
      <c r="I607" s="9" t="s">
        <v>2565</v>
      </c>
    </row>
    <row r="608" customFormat="false" ht="64.5" hidden="false" customHeight="true" outlineLevel="0" collapsed="false">
      <c r="A608" s="10" t="s">
        <v>2566</v>
      </c>
      <c r="B608" s="10" t="s">
        <v>2567</v>
      </c>
      <c r="C608" s="10" t="s">
        <v>2568</v>
      </c>
      <c r="D608" s="10" t="n">
        <v>2016</v>
      </c>
      <c r="E608" s="10" t="s">
        <v>103</v>
      </c>
      <c r="F608" s="10" t="s">
        <v>2569</v>
      </c>
      <c r="G608" s="10" t="s">
        <v>507</v>
      </c>
      <c r="H608" s="10" t="s">
        <v>25</v>
      </c>
      <c r="I608" s="10" t="s">
        <v>2570</v>
      </c>
    </row>
    <row r="609" customFormat="false" ht="64.5" hidden="false" customHeight="true" outlineLevel="0" collapsed="false">
      <c r="A609" s="9" t="s">
        <v>2566</v>
      </c>
      <c r="B609" s="9" t="s">
        <v>2567</v>
      </c>
      <c r="C609" s="9" t="s">
        <v>2568</v>
      </c>
      <c r="D609" s="9" t="n">
        <v>2016</v>
      </c>
      <c r="E609" s="9" t="s">
        <v>103</v>
      </c>
      <c r="F609" s="9" t="s">
        <v>2569</v>
      </c>
      <c r="G609" s="9" t="s">
        <v>527</v>
      </c>
      <c r="H609" s="9" t="s">
        <v>25</v>
      </c>
      <c r="I609" s="9" t="s">
        <v>2570</v>
      </c>
    </row>
    <row r="610" customFormat="false" ht="39" hidden="false" customHeight="true" outlineLevel="0" collapsed="false">
      <c r="A610" s="10" t="s">
        <v>2571</v>
      </c>
      <c r="B610" s="10" t="s">
        <v>2572</v>
      </c>
      <c r="C610" s="10" t="s">
        <v>2573</v>
      </c>
      <c r="D610" s="10" t="n">
        <v>2016</v>
      </c>
      <c r="E610" s="10" t="s">
        <v>1945</v>
      </c>
      <c r="F610" s="10" t="s">
        <v>2574</v>
      </c>
      <c r="G610" s="10" t="s">
        <v>507</v>
      </c>
      <c r="H610" s="10" t="s">
        <v>25</v>
      </c>
      <c r="I610" s="10" t="s">
        <v>2575</v>
      </c>
    </row>
    <row r="611" customFormat="false" ht="39" hidden="false" customHeight="true" outlineLevel="0" collapsed="false">
      <c r="A611" s="9" t="s">
        <v>2571</v>
      </c>
      <c r="B611" s="9" t="s">
        <v>2572</v>
      </c>
      <c r="C611" s="9" t="s">
        <v>2573</v>
      </c>
      <c r="D611" s="9" t="n">
        <v>2016</v>
      </c>
      <c r="E611" s="9" t="s">
        <v>1945</v>
      </c>
      <c r="F611" s="9" t="s">
        <v>2574</v>
      </c>
      <c r="G611" s="9" t="s">
        <v>527</v>
      </c>
      <c r="H611" s="9" t="s">
        <v>25</v>
      </c>
      <c r="I611" s="9" t="s">
        <v>2575</v>
      </c>
    </row>
    <row r="612" customFormat="false" ht="25.5" hidden="false" customHeight="true" outlineLevel="0" collapsed="false">
      <c r="A612" s="10" t="s">
        <v>2576</v>
      </c>
      <c r="B612" s="10" t="s">
        <v>2577</v>
      </c>
      <c r="C612" s="10" t="s">
        <v>2578</v>
      </c>
      <c r="D612" s="10" t="n">
        <v>2016</v>
      </c>
      <c r="E612" s="10" t="s">
        <v>580</v>
      </c>
      <c r="F612" s="10" t="s">
        <v>2579</v>
      </c>
      <c r="G612" s="10" t="s">
        <v>507</v>
      </c>
      <c r="H612" s="10" t="s">
        <v>25</v>
      </c>
      <c r="I612" s="10" t="s">
        <v>2580</v>
      </c>
    </row>
    <row r="613" customFormat="false" ht="25.5" hidden="false" customHeight="true" outlineLevel="0" collapsed="false">
      <c r="A613" s="9" t="s">
        <v>2576</v>
      </c>
      <c r="B613" s="9" t="s">
        <v>2577</v>
      </c>
      <c r="C613" s="9" t="s">
        <v>2578</v>
      </c>
      <c r="D613" s="9" t="n">
        <v>2016</v>
      </c>
      <c r="E613" s="9" t="s">
        <v>580</v>
      </c>
      <c r="F613" s="9" t="s">
        <v>2579</v>
      </c>
      <c r="G613" s="9" t="s">
        <v>527</v>
      </c>
      <c r="H613" s="9" t="s">
        <v>25</v>
      </c>
      <c r="I613" s="9" t="s">
        <v>2580</v>
      </c>
    </row>
    <row r="614" customFormat="false" ht="25.5" hidden="false" customHeight="true" outlineLevel="0" collapsed="false">
      <c r="A614" s="10" t="s">
        <v>2581</v>
      </c>
      <c r="B614" s="10" t="s">
        <v>173</v>
      </c>
      <c r="C614" s="10" t="s">
        <v>172</v>
      </c>
      <c r="D614" s="10" t="n">
        <v>2016</v>
      </c>
      <c r="E614" s="10" t="s">
        <v>174</v>
      </c>
      <c r="F614" s="10" t="s">
        <v>175</v>
      </c>
      <c r="G614" s="10" t="s">
        <v>527</v>
      </c>
      <c r="H614" s="10" t="s">
        <v>25</v>
      </c>
      <c r="I614" s="10" t="s">
        <v>2582</v>
      </c>
    </row>
    <row r="615" customFormat="false" ht="25.5" hidden="false" customHeight="true" outlineLevel="0" collapsed="false">
      <c r="A615" s="9" t="s">
        <v>2583</v>
      </c>
      <c r="B615" s="9" t="s">
        <v>177</v>
      </c>
      <c r="C615" s="9" t="s">
        <v>176</v>
      </c>
      <c r="D615" s="9" t="n">
        <v>2016</v>
      </c>
      <c r="E615" s="9" t="s">
        <v>32</v>
      </c>
      <c r="F615" s="9" t="s">
        <v>178</v>
      </c>
      <c r="G615" s="9" t="s">
        <v>507</v>
      </c>
      <c r="H615" s="9" t="s">
        <v>25</v>
      </c>
      <c r="I615" s="9" t="s">
        <v>2584</v>
      </c>
    </row>
    <row r="616" customFormat="false" ht="25.5" hidden="false" customHeight="true" outlineLevel="0" collapsed="false">
      <c r="A616" s="10" t="s">
        <v>2583</v>
      </c>
      <c r="B616" s="10" t="s">
        <v>177</v>
      </c>
      <c r="C616" s="10" t="s">
        <v>176</v>
      </c>
      <c r="D616" s="10" t="n">
        <v>2016</v>
      </c>
      <c r="E616" s="10" t="s">
        <v>32</v>
      </c>
      <c r="F616" s="10" t="s">
        <v>178</v>
      </c>
      <c r="G616" s="10" t="s">
        <v>527</v>
      </c>
      <c r="H616" s="10" t="s">
        <v>25</v>
      </c>
      <c r="I616" s="10" t="s">
        <v>2584</v>
      </c>
    </row>
    <row r="617" customFormat="false" ht="39" hidden="false" customHeight="true" outlineLevel="0" collapsed="false">
      <c r="A617" s="9" t="s">
        <v>2585</v>
      </c>
      <c r="B617" s="9" t="s">
        <v>2586</v>
      </c>
      <c r="C617" s="9" t="s">
        <v>2587</v>
      </c>
      <c r="D617" s="9" t="n">
        <v>2016</v>
      </c>
      <c r="E617" s="9" t="s">
        <v>103</v>
      </c>
      <c r="F617" s="9" t="s">
        <v>2588</v>
      </c>
      <c r="G617" s="9" t="s">
        <v>507</v>
      </c>
      <c r="H617" s="9" t="s">
        <v>25</v>
      </c>
      <c r="I617" s="9" t="s">
        <v>2589</v>
      </c>
    </row>
    <row r="618" customFormat="false" ht="39" hidden="false" customHeight="true" outlineLevel="0" collapsed="false">
      <c r="A618" s="10" t="s">
        <v>2585</v>
      </c>
      <c r="B618" s="10" t="s">
        <v>2586</v>
      </c>
      <c r="C618" s="10" t="s">
        <v>2587</v>
      </c>
      <c r="D618" s="10" t="n">
        <v>2016</v>
      </c>
      <c r="E618" s="10" t="s">
        <v>103</v>
      </c>
      <c r="F618" s="10" t="s">
        <v>2588</v>
      </c>
      <c r="G618" s="10" t="s">
        <v>527</v>
      </c>
      <c r="H618" s="10" t="s">
        <v>25</v>
      </c>
      <c r="I618" s="10" t="s">
        <v>2589</v>
      </c>
    </row>
    <row r="619" customFormat="false" ht="25.5" hidden="false" customHeight="true" outlineLevel="0" collapsed="false">
      <c r="A619" s="9" t="s">
        <v>2590</v>
      </c>
      <c r="B619" s="9" t="s">
        <v>2591</v>
      </c>
      <c r="C619" s="9" t="s">
        <v>2592</v>
      </c>
      <c r="D619" s="9" t="n">
        <v>2016</v>
      </c>
      <c r="E619" s="9" t="s">
        <v>2380</v>
      </c>
      <c r="F619" s="9" t="s">
        <v>2593</v>
      </c>
      <c r="G619" s="9" t="s">
        <v>507</v>
      </c>
      <c r="H619" s="9" t="s">
        <v>514</v>
      </c>
      <c r="I619" s="9" t="s">
        <v>2594</v>
      </c>
    </row>
    <row r="620" customFormat="false" ht="25.5" hidden="false" customHeight="true" outlineLevel="0" collapsed="false">
      <c r="A620" s="10" t="s">
        <v>2595</v>
      </c>
      <c r="B620" s="10" t="s">
        <v>2596</v>
      </c>
      <c r="C620" s="10" t="s">
        <v>2597</v>
      </c>
      <c r="D620" s="10" t="n">
        <v>2016</v>
      </c>
      <c r="E620" s="10" t="s">
        <v>598</v>
      </c>
      <c r="F620" s="10" t="s">
        <v>2598</v>
      </c>
      <c r="G620" s="10" t="s">
        <v>507</v>
      </c>
      <c r="H620" s="10" t="s">
        <v>25</v>
      </c>
      <c r="I620" s="10" t="s">
        <v>2599</v>
      </c>
    </row>
    <row r="621" customFormat="false" ht="39" hidden="false" customHeight="true" outlineLevel="0" collapsed="false">
      <c r="A621" s="9" t="s">
        <v>2600</v>
      </c>
      <c r="B621" s="9" t="s">
        <v>2601</v>
      </c>
      <c r="C621" s="9" t="s">
        <v>2602</v>
      </c>
      <c r="D621" s="9" t="n">
        <v>2016</v>
      </c>
      <c r="E621" s="9" t="s">
        <v>2603</v>
      </c>
      <c r="F621" s="9" t="s">
        <v>2604</v>
      </c>
      <c r="G621" s="9" t="s">
        <v>507</v>
      </c>
      <c r="H621" s="9" t="s">
        <v>25</v>
      </c>
      <c r="I621" s="9" t="s">
        <v>2605</v>
      </c>
    </row>
    <row r="622" customFormat="false" ht="39" hidden="false" customHeight="true" outlineLevel="0" collapsed="false">
      <c r="A622" s="10" t="s">
        <v>2606</v>
      </c>
      <c r="B622" s="10" t="s">
        <v>2607</v>
      </c>
      <c r="C622" s="10" t="s">
        <v>2608</v>
      </c>
      <c r="D622" s="10" t="n">
        <v>2016</v>
      </c>
      <c r="E622" s="10" t="s">
        <v>103</v>
      </c>
      <c r="F622" s="10" t="s">
        <v>2609</v>
      </c>
      <c r="G622" s="10" t="s">
        <v>507</v>
      </c>
      <c r="H622" s="10" t="s">
        <v>25</v>
      </c>
      <c r="I622" s="10" t="s">
        <v>2610</v>
      </c>
    </row>
    <row r="623" customFormat="false" ht="39" hidden="false" customHeight="true" outlineLevel="0" collapsed="false">
      <c r="A623" s="9" t="s">
        <v>2611</v>
      </c>
      <c r="B623" s="9" t="s">
        <v>2612</v>
      </c>
      <c r="C623" s="9" t="s">
        <v>2613</v>
      </c>
      <c r="D623" s="9" t="n">
        <v>2016</v>
      </c>
      <c r="E623" s="9" t="s">
        <v>300</v>
      </c>
      <c r="F623" s="9"/>
      <c r="G623" s="9" t="s">
        <v>507</v>
      </c>
      <c r="H623" s="9" t="s">
        <v>25</v>
      </c>
      <c r="I623" s="9" t="s">
        <v>2614</v>
      </c>
    </row>
    <row r="624" customFormat="false" ht="39" hidden="false" customHeight="true" outlineLevel="0" collapsed="false">
      <c r="A624" s="10" t="s">
        <v>2611</v>
      </c>
      <c r="B624" s="10" t="s">
        <v>2612</v>
      </c>
      <c r="C624" s="10" t="s">
        <v>2613</v>
      </c>
      <c r="D624" s="10" t="n">
        <v>2016</v>
      </c>
      <c r="E624" s="10" t="s">
        <v>300</v>
      </c>
      <c r="F624" s="10"/>
      <c r="G624" s="10" t="s">
        <v>527</v>
      </c>
      <c r="H624" s="10" t="s">
        <v>25</v>
      </c>
      <c r="I624" s="10" t="s">
        <v>2614</v>
      </c>
    </row>
    <row r="625" customFormat="false" ht="39" hidden="false" customHeight="true" outlineLevel="0" collapsed="false">
      <c r="A625" s="9" t="s">
        <v>2615</v>
      </c>
      <c r="B625" s="9" t="s">
        <v>2616</v>
      </c>
      <c r="C625" s="9" t="s">
        <v>2613</v>
      </c>
      <c r="D625" s="9" t="n">
        <v>2016</v>
      </c>
      <c r="E625" s="9" t="s">
        <v>2617</v>
      </c>
      <c r="F625" s="9" t="s">
        <v>2618</v>
      </c>
      <c r="G625" s="9" t="s">
        <v>507</v>
      </c>
      <c r="H625" s="9" t="s">
        <v>25</v>
      </c>
      <c r="I625" s="9" t="s">
        <v>2619</v>
      </c>
    </row>
    <row r="626" customFormat="false" ht="39" hidden="false" customHeight="true" outlineLevel="0" collapsed="false">
      <c r="A626" s="10" t="s">
        <v>2615</v>
      </c>
      <c r="B626" s="10" t="s">
        <v>2616</v>
      </c>
      <c r="C626" s="10" t="s">
        <v>2613</v>
      </c>
      <c r="D626" s="10" t="n">
        <v>2016</v>
      </c>
      <c r="E626" s="10" t="s">
        <v>2617</v>
      </c>
      <c r="F626" s="10" t="s">
        <v>2618</v>
      </c>
      <c r="G626" s="10" t="s">
        <v>527</v>
      </c>
      <c r="H626" s="10" t="s">
        <v>25</v>
      </c>
      <c r="I626" s="10" t="s">
        <v>2619</v>
      </c>
    </row>
    <row r="627" customFormat="false" ht="51.75" hidden="false" customHeight="true" outlineLevel="0" collapsed="false">
      <c r="A627" s="9" t="s">
        <v>2620</v>
      </c>
      <c r="B627" s="9" t="s">
        <v>267</v>
      </c>
      <c r="C627" s="9" t="s">
        <v>293</v>
      </c>
      <c r="D627" s="9" t="n">
        <v>2016</v>
      </c>
      <c r="E627" s="9" t="s">
        <v>103</v>
      </c>
      <c r="F627" s="9"/>
      <c r="G627" s="9" t="s">
        <v>507</v>
      </c>
      <c r="H627" s="9" t="s">
        <v>25</v>
      </c>
      <c r="I627" s="9" t="s">
        <v>2621</v>
      </c>
    </row>
    <row r="628" customFormat="false" ht="51.75" hidden="false" customHeight="true" outlineLevel="0" collapsed="false">
      <c r="A628" s="10" t="s">
        <v>2620</v>
      </c>
      <c r="B628" s="10" t="s">
        <v>267</v>
      </c>
      <c r="C628" s="10" t="s">
        <v>293</v>
      </c>
      <c r="D628" s="10" t="n">
        <v>2016</v>
      </c>
      <c r="E628" s="10" t="s">
        <v>103</v>
      </c>
      <c r="F628" s="10"/>
      <c r="G628" s="10" t="s">
        <v>527</v>
      </c>
      <c r="H628" s="10" t="s">
        <v>25</v>
      </c>
      <c r="I628" s="10" t="s">
        <v>2621</v>
      </c>
    </row>
    <row r="629" customFormat="false" ht="39" hidden="false" customHeight="true" outlineLevel="0" collapsed="false">
      <c r="A629" s="9" t="s">
        <v>2622</v>
      </c>
      <c r="B629" s="9" t="s">
        <v>46</v>
      </c>
      <c r="C629" s="9" t="s">
        <v>45</v>
      </c>
      <c r="D629" s="9" t="n">
        <v>2016</v>
      </c>
      <c r="E629" s="9" t="s">
        <v>32</v>
      </c>
      <c r="F629" s="9" t="s">
        <v>47</v>
      </c>
      <c r="G629" s="9" t="s">
        <v>507</v>
      </c>
      <c r="H629" s="9" t="s">
        <v>25</v>
      </c>
      <c r="I629" s="9" t="s">
        <v>2623</v>
      </c>
    </row>
    <row r="630" customFormat="false" ht="39" hidden="false" customHeight="true" outlineLevel="0" collapsed="false">
      <c r="A630" s="10" t="s">
        <v>2622</v>
      </c>
      <c r="B630" s="10" t="s">
        <v>46</v>
      </c>
      <c r="C630" s="10" t="s">
        <v>45</v>
      </c>
      <c r="D630" s="10" t="n">
        <v>2016</v>
      </c>
      <c r="E630" s="10" t="s">
        <v>32</v>
      </c>
      <c r="F630" s="10" t="s">
        <v>47</v>
      </c>
      <c r="G630" s="10" t="s">
        <v>527</v>
      </c>
      <c r="H630" s="10" t="s">
        <v>25</v>
      </c>
      <c r="I630" s="10" t="s">
        <v>2623</v>
      </c>
    </row>
    <row r="631" customFormat="false" ht="39" hidden="false" customHeight="true" outlineLevel="0" collapsed="false">
      <c r="A631" s="9" t="s">
        <v>2624</v>
      </c>
      <c r="B631" s="9" t="s">
        <v>2224</v>
      </c>
      <c r="C631" s="9" t="s">
        <v>2625</v>
      </c>
      <c r="D631" s="9" t="n">
        <v>2016</v>
      </c>
      <c r="E631" s="9" t="s">
        <v>2626</v>
      </c>
      <c r="F631" s="9" t="s">
        <v>2627</v>
      </c>
      <c r="G631" s="9" t="s">
        <v>507</v>
      </c>
      <c r="H631" s="9" t="s">
        <v>25</v>
      </c>
      <c r="I631" s="9" t="s">
        <v>2628</v>
      </c>
    </row>
    <row r="632" customFormat="false" ht="39" hidden="false" customHeight="true" outlineLevel="0" collapsed="false">
      <c r="A632" s="10" t="s">
        <v>2624</v>
      </c>
      <c r="B632" s="10" t="s">
        <v>2224</v>
      </c>
      <c r="C632" s="10" t="s">
        <v>2625</v>
      </c>
      <c r="D632" s="10" t="n">
        <v>2016</v>
      </c>
      <c r="E632" s="10" t="s">
        <v>2626</v>
      </c>
      <c r="F632" s="10" t="s">
        <v>2627</v>
      </c>
      <c r="G632" s="10" t="s">
        <v>527</v>
      </c>
      <c r="H632" s="10" t="s">
        <v>25</v>
      </c>
      <c r="I632" s="10" t="s">
        <v>2628</v>
      </c>
    </row>
    <row r="633" customFormat="false" ht="25.5" hidden="false" customHeight="true" outlineLevel="0" collapsed="false">
      <c r="A633" s="9" t="s">
        <v>2629</v>
      </c>
      <c r="B633" s="9" t="s">
        <v>2630</v>
      </c>
      <c r="C633" s="9" t="s">
        <v>2631</v>
      </c>
      <c r="D633" s="9" t="n">
        <v>2016</v>
      </c>
      <c r="E633" s="9" t="s">
        <v>876</v>
      </c>
      <c r="F633" s="9"/>
      <c r="G633" s="9" t="s">
        <v>527</v>
      </c>
      <c r="H633" s="9" t="s">
        <v>335</v>
      </c>
      <c r="I633" s="9" t="s">
        <v>2632</v>
      </c>
    </row>
    <row r="634" customFormat="false" ht="39" hidden="false" customHeight="true" outlineLevel="0" collapsed="false">
      <c r="A634" s="10" t="s">
        <v>2633</v>
      </c>
      <c r="B634" s="10" t="s">
        <v>120</v>
      </c>
      <c r="C634" s="10" t="s">
        <v>119</v>
      </c>
      <c r="D634" s="10" t="n">
        <v>2016</v>
      </c>
      <c r="E634" s="10" t="s">
        <v>103</v>
      </c>
      <c r="F634" s="10"/>
      <c r="G634" s="10" t="s">
        <v>507</v>
      </c>
      <c r="H634" s="10" t="s">
        <v>25</v>
      </c>
      <c r="I634" s="10" t="s">
        <v>2634</v>
      </c>
    </row>
    <row r="635" customFormat="false" ht="39" hidden="false" customHeight="true" outlineLevel="0" collapsed="false">
      <c r="A635" s="9" t="s">
        <v>2633</v>
      </c>
      <c r="B635" s="9" t="s">
        <v>120</v>
      </c>
      <c r="C635" s="9" t="s">
        <v>119</v>
      </c>
      <c r="D635" s="9" t="n">
        <v>2016</v>
      </c>
      <c r="E635" s="9" t="s">
        <v>103</v>
      </c>
      <c r="F635" s="9"/>
      <c r="G635" s="9" t="s">
        <v>527</v>
      </c>
      <c r="H635" s="9" t="s">
        <v>25</v>
      </c>
      <c r="I635" s="9" t="s">
        <v>2634</v>
      </c>
    </row>
    <row r="636" customFormat="false" ht="39" hidden="false" customHeight="true" outlineLevel="0" collapsed="false">
      <c r="A636" s="10" t="s">
        <v>2635</v>
      </c>
      <c r="B636" s="10" t="s">
        <v>2636</v>
      </c>
      <c r="C636" s="10" t="s">
        <v>2637</v>
      </c>
      <c r="D636" s="10" t="n">
        <v>2016</v>
      </c>
      <c r="E636" s="10" t="s">
        <v>2638</v>
      </c>
      <c r="F636" s="10" t="s">
        <v>2639</v>
      </c>
      <c r="G636" s="10" t="s">
        <v>507</v>
      </c>
      <c r="H636" s="10" t="s">
        <v>25</v>
      </c>
      <c r="I636" s="10" t="s">
        <v>2640</v>
      </c>
    </row>
    <row r="637" customFormat="false" ht="39" hidden="false" customHeight="true" outlineLevel="0" collapsed="false">
      <c r="A637" s="9" t="s">
        <v>2635</v>
      </c>
      <c r="B637" s="9" t="s">
        <v>2636</v>
      </c>
      <c r="C637" s="9" t="s">
        <v>2637</v>
      </c>
      <c r="D637" s="9" t="n">
        <v>2016</v>
      </c>
      <c r="E637" s="9" t="s">
        <v>2638</v>
      </c>
      <c r="F637" s="9" t="s">
        <v>2639</v>
      </c>
      <c r="G637" s="9" t="s">
        <v>527</v>
      </c>
      <c r="H637" s="9" t="s">
        <v>25</v>
      </c>
      <c r="I637" s="9" t="s">
        <v>2640</v>
      </c>
    </row>
    <row r="638" customFormat="false" ht="39" hidden="false" customHeight="true" outlineLevel="0" collapsed="false">
      <c r="A638" s="10" t="s">
        <v>2641</v>
      </c>
      <c r="B638" s="10" t="s">
        <v>2642</v>
      </c>
      <c r="C638" s="10" t="s">
        <v>2643</v>
      </c>
      <c r="D638" s="10" t="n">
        <v>2016</v>
      </c>
      <c r="E638" s="10" t="s">
        <v>300</v>
      </c>
      <c r="F638" s="10" t="s">
        <v>2644</v>
      </c>
      <c r="G638" s="10" t="s">
        <v>527</v>
      </c>
      <c r="H638" s="10" t="s">
        <v>25</v>
      </c>
      <c r="I638" s="10" t="s">
        <v>2645</v>
      </c>
    </row>
    <row r="639" customFormat="false" ht="39" hidden="false" customHeight="true" outlineLevel="0" collapsed="false">
      <c r="A639" s="9" t="s">
        <v>2646</v>
      </c>
      <c r="B639" s="9" t="s">
        <v>2642</v>
      </c>
      <c r="C639" s="9" t="s">
        <v>2643</v>
      </c>
      <c r="D639" s="9" t="n">
        <v>2016</v>
      </c>
      <c r="E639" s="9" t="s">
        <v>2617</v>
      </c>
      <c r="F639" s="9"/>
      <c r="G639" s="9" t="s">
        <v>527</v>
      </c>
      <c r="H639" s="9" t="s">
        <v>25</v>
      </c>
      <c r="I639" s="9" t="s">
        <v>2647</v>
      </c>
    </row>
    <row r="640" customFormat="false" ht="25.5" hidden="false" customHeight="true" outlineLevel="0" collapsed="false">
      <c r="A640" s="10" t="s">
        <v>2648</v>
      </c>
      <c r="B640" s="10" t="s">
        <v>2649</v>
      </c>
      <c r="C640" s="10" t="s">
        <v>2650</v>
      </c>
      <c r="D640" s="10" t="n">
        <v>2016</v>
      </c>
      <c r="E640" s="10" t="s">
        <v>32</v>
      </c>
      <c r="F640" s="10" t="s">
        <v>2651</v>
      </c>
      <c r="G640" s="10" t="s">
        <v>527</v>
      </c>
      <c r="H640" s="10" t="s">
        <v>25</v>
      </c>
      <c r="I640" s="10" t="s">
        <v>2652</v>
      </c>
    </row>
    <row r="641" customFormat="false" ht="39" hidden="false" customHeight="true" outlineLevel="0" collapsed="false">
      <c r="A641" s="9" t="s">
        <v>2653</v>
      </c>
      <c r="B641" s="9" t="s">
        <v>2654</v>
      </c>
      <c r="C641" s="9" t="s">
        <v>2655</v>
      </c>
      <c r="D641" s="9" t="n">
        <v>2016</v>
      </c>
      <c r="E641" s="9" t="s">
        <v>103</v>
      </c>
      <c r="F641" s="9" t="s">
        <v>2656</v>
      </c>
      <c r="G641" s="9" t="s">
        <v>527</v>
      </c>
      <c r="H641" s="9" t="s">
        <v>25</v>
      </c>
      <c r="I641" s="9" t="s">
        <v>2657</v>
      </c>
    </row>
    <row r="642" customFormat="false" ht="51.75" hidden="false" customHeight="true" outlineLevel="0" collapsed="false">
      <c r="A642" s="10" t="s">
        <v>2658</v>
      </c>
      <c r="B642" s="10" t="s">
        <v>2659</v>
      </c>
      <c r="C642" s="10" t="s">
        <v>2660</v>
      </c>
      <c r="D642" s="10" t="n">
        <v>2016</v>
      </c>
      <c r="E642" s="10" t="s">
        <v>77</v>
      </c>
      <c r="F642" s="10" t="s">
        <v>2661</v>
      </c>
      <c r="G642" s="10" t="s">
        <v>507</v>
      </c>
      <c r="H642" s="10" t="s">
        <v>25</v>
      </c>
      <c r="I642" s="10" t="s">
        <v>2662</v>
      </c>
    </row>
    <row r="643" customFormat="false" ht="51.75" hidden="false" customHeight="true" outlineLevel="0" collapsed="false">
      <c r="A643" s="9" t="s">
        <v>2658</v>
      </c>
      <c r="B643" s="9" t="s">
        <v>2659</v>
      </c>
      <c r="C643" s="9" t="s">
        <v>2660</v>
      </c>
      <c r="D643" s="9" t="n">
        <v>2016</v>
      </c>
      <c r="E643" s="9" t="s">
        <v>77</v>
      </c>
      <c r="F643" s="9" t="s">
        <v>2661</v>
      </c>
      <c r="G643" s="9" t="s">
        <v>527</v>
      </c>
      <c r="H643" s="9" t="s">
        <v>25</v>
      </c>
      <c r="I643" s="9" t="s">
        <v>2662</v>
      </c>
    </row>
    <row r="644" customFormat="false" ht="39" hidden="false" customHeight="true" outlineLevel="0" collapsed="false">
      <c r="A644" s="10" t="s">
        <v>2663</v>
      </c>
      <c r="B644" s="10" t="s">
        <v>2664</v>
      </c>
      <c r="C644" s="10" t="s">
        <v>2665</v>
      </c>
      <c r="D644" s="10" t="n">
        <v>2016</v>
      </c>
      <c r="E644" s="10" t="s">
        <v>103</v>
      </c>
      <c r="F644" s="10"/>
      <c r="G644" s="10" t="s">
        <v>507</v>
      </c>
      <c r="H644" s="10" t="s">
        <v>25</v>
      </c>
      <c r="I644" s="10" t="s">
        <v>2666</v>
      </c>
    </row>
    <row r="645" customFormat="false" ht="39" hidden="false" customHeight="true" outlineLevel="0" collapsed="false">
      <c r="A645" s="9" t="s">
        <v>2667</v>
      </c>
      <c r="B645" s="9" t="s">
        <v>2668</v>
      </c>
      <c r="C645" s="9" t="s">
        <v>2669</v>
      </c>
      <c r="D645" s="9" t="n">
        <v>2016</v>
      </c>
      <c r="E645" s="9" t="s">
        <v>103</v>
      </c>
      <c r="F645" s="9" t="s">
        <v>2670</v>
      </c>
      <c r="G645" s="9" t="s">
        <v>507</v>
      </c>
      <c r="H645" s="9" t="s">
        <v>25</v>
      </c>
      <c r="I645" s="9" t="s">
        <v>2671</v>
      </c>
    </row>
    <row r="646" customFormat="false" ht="25.5" hidden="false" customHeight="true" outlineLevel="0" collapsed="false">
      <c r="A646" s="10" t="s">
        <v>2672</v>
      </c>
      <c r="B646" s="10" t="s">
        <v>2673</v>
      </c>
      <c r="C646" s="10" t="s">
        <v>2674</v>
      </c>
      <c r="D646" s="10" t="n">
        <v>2016</v>
      </c>
      <c r="E646" s="10" t="s">
        <v>2675</v>
      </c>
      <c r="F646" s="10" t="s">
        <v>2676</v>
      </c>
      <c r="G646" s="10" t="s">
        <v>507</v>
      </c>
      <c r="H646" s="10" t="s">
        <v>25</v>
      </c>
      <c r="I646" s="10" t="s">
        <v>2677</v>
      </c>
    </row>
    <row r="647" customFormat="false" ht="51.75" hidden="false" customHeight="true" outlineLevel="0" collapsed="false">
      <c r="A647" s="9" t="s">
        <v>2678</v>
      </c>
      <c r="B647" s="9" t="s">
        <v>2679</v>
      </c>
      <c r="C647" s="9" t="s">
        <v>2680</v>
      </c>
      <c r="D647" s="9" t="n">
        <v>2016</v>
      </c>
      <c r="E647" s="9" t="s">
        <v>2681</v>
      </c>
      <c r="F647" s="9" t="s">
        <v>2682</v>
      </c>
      <c r="G647" s="9" t="s">
        <v>527</v>
      </c>
      <c r="H647" s="9" t="s">
        <v>25</v>
      </c>
      <c r="I647" s="9" t="s">
        <v>2683</v>
      </c>
    </row>
    <row r="648" customFormat="false" ht="25.5" hidden="false" customHeight="true" outlineLevel="0" collapsed="false">
      <c r="A648" s="10" t="s">
        <v>2684</v>
      </c>
      <c r="B648" s="10" t="s">
        <v>2685</v>
      </c>
      <c r="C648" s="10" t="s">
        <v>2686</v>
      </c>
      <c r="D648" s="10" t="n">
        <v>2016</v>
      </c>
      <c r="E648" s="10" t="s">
        <v>954</v>
      </c>
      <c r="F648" s="10" t="s">
        <v>2687</v>
      </c>
      <c r="G648" s="10" t="s">
        <v>507</v>
      </c>
      <c r="H648" s="10" t="s">
        <v>335</v>
      </c>
      <c r="I648" s="10" t="s">
        <v>2688</v>
      </c>
    </row>
    <row r="649" customFormat="false" ht="25.5" hidden="false" customHeight="true" outlineLevel="0" collapsed="false">
      <c r="A649" s="9" t="s">
        <v>2684</v>
      </c>
      <c r="B649" s="9" t="s">
        <v>2685</v>
      </c>
      <c r="C649" s="9" t="s">
        <v>2686</v>
      </c>
      <c r="D649" s="9" t="n">
        <v>2016</v>
      </c>
      <c r="E649" s="9" t="s">
        <v>954</v>
      </c>
      <c r="F649" s="9" t="s">
        <v>2687</v>
      </c>
      <c r="G649" s="9" t="s">
        <v>527</v>
      </c>
      <c r="H649" s="9" t="s">
        <v>335</v>
      </c>
      <c r="I649" s="9" t="s">
        <v>2688</v>
      </c>
    </row>
    <row r="650" customFormat="false" ht="39" hidden="false" customHeight="true" outlineLevel="0" collapsed="false">
      <c r="A650" s="10" t="s">
        <v>2689</v>
      </c>
      <c r="B650" s="10" t="s">
        <v>2685</v>
      </c>
      <c r="C650" s="10" t="s">
        <v>2690</v>
      </c>
      <c r="D650" s="10" t="n">
        <v>2016</v>
      </c>
      <c r="E650" s="10" t="s">
        <v>958</v>
      </c>
      <c r="F650" s="10" t="s">
        <v>2691</v>
      </c>
      <c r="G650" s="10" t="s">
        <v>507</v>
      </c>
      <c r="H650" s="10" t="s">
        <v>335</v>
      </c>
      <c r="I650" s="10" t="s">
        <v>2692</v>
      </c>
    </row>
    <row r="651" customFormat="false" ht="39" hidden="false" customHeight="true" outlineLevel="0" collapsed="false">
      <c r="A651" s="9" t="s">
        <v>2689</v>
      </c>
      <c r="B651" s="9" t="s">
        <v>2685</v>
      </c>
      <c r="C651" s="9" t="s">
        <v>2690</v>
      </c>
      <c r="D651" s="9" t="n">
        <v>2016</v>
      </c>
      <c r="E651" s="9" t="s">
        <v>958</v>
      </c>
      <c r="F651" s="9" t="s">
        <v>2691</v>
      </c>
      <c r="G651" s="9" t="s">
        <v>527</v>
      </c>
      <c r="H651" s="9" t="s">
        <v>335</v>
      </c>
      <c r="I651" s="9" t="s">
        <v>2692</v>
      </c>
    </row>
    <row r="652" customFormat="false" ht="51.75" hidden="false" customHeight="true" outlineLevel="0" collapsed="false">
      <c r="A652" s="10" t="s">
        <v>2693</v>
      </c>
      <c r="B652" s="10" t="s">
        <v>102</v>
      </c>
      <c r="C652" s="10" t="s">
        <v>101</v>
      </c>
      <c r="D652" s="10" t="n">
        <v>2016</v>
      </c>
      <c r="E652" s="10" t="s">
        <v>103</v>
      </c>
      <c r="F652" s="10" t="s">
        <v>104</v>
      </c>
      <c r="G652" s="10" t="s">
        <v>507</v>
      </c>
      <c r="H652" s="10" t="s">
        <v>25</v>
      </c>
      <c r="I652" s="10" t="s">
        <v>2694</v>
      </c>
    </row>
    <row r="653" customFormat="false" ht="51.75" hidden="false" customHeight="true" outlineLevel="0" collapsed="false">
      <c r="A653" s="9" t="s">
        <v>2693</v>
      </c>
      <c r="B653" s="9" t="s">
        <v>102</v>
      </c>
      <c r="C653" s="9" t="s">
        <v>101</v>
      </c>
      <c r="D653" s="9" t="n">
        <v>2016</v>
      </c>
      <c r="E653" s="9" t="s">
        <v>103</v>
      </c>
      <c r="F653" s="9" t="s">
        <v>104</v>
      </c>
      <c r="G653" s="9" t="s">
        <v>527</v>
      </c>
      <c r="H653" s="9" t="s">
        <v>25</v>
      </c>
      <c r="I653" s="9" t="s">
        <v>2694</v>
      </c>
    </row>
    <row r="654" customFormat="false" ht="39" hidden="false" customHeight="true" outlineLevel="0" collapsed="false">
      <c r="A654" s="10" t="s">
        <v>2695</v>
      </c>
      <c r="B654" s="10" t="s">
        <v>31</v>
      </c>
      <c r="C654" s="10" t="s">
        <v>30</v>
      </c>
      <c r="D654" s="10" t="n">
        <v>2016</v>
      </c>
      <c r="E654" s="10" t="s">
        <v>32</v>
      </c>
      <c r="F654" s="10" t="s">
        <v>33</v>
      </c>
      <c r="G654" s="10" t="s">
        <v>507</v>
      </c>
      <c r="H654" s="10" t="s">
        <v>25</v>
      </c>
      <c r="I654" s="10" t="s">
        <v>2696</v>
      </c>
    </row>
    <row r="655" customFormat="false" ht="39" hidden="false" customHeight="true" outlineLevel="0" collapsed="false">
      <c r="A655" s="9" t="s">
        <v>2695</v>
      </c>
      <c r="B655" s="9" t="s">
        <v>31</v>
      </c>
      <c r="C655" s="9" t="s">
        <v>30</v>
      </c>
      <c r="D655" s="9" t="n">
        <v>2016</v>
      </c>
      <c r="E655" s="9" t="s">
        <v>32</v>
      </c>
      <c r="F655" s="9" t="s">
        <v>33</v>
      </c>
      <c r="G655" s="9" t="s">
        <v>527</v>
      </c>
      <c r="H655" s="9" t="s">
        <v>25</v>
      </c>
      <c r="I655" s="9" t="s">
        <v>2696</v>
      </c>
    </row>
    <row r="656" customFormat="false" ht="39" hidden="false" customHeight="true" outlineLevel="0" collapsed="false">
      <c r="A656" s="10" t="s">
        <v>2697</v>
      </c>
      <c r="B656" s="10" t="s">
        <v>2698</v>
      </c>
      <c r="C656" s="10" t="s">
        <v>2699</v>
      </c>
      <c r="D656" s="10" t="n">
        <v>2016</v>
      </c>
      <c r="E656" s="10" t="s">
        <v>103</v>
      </c>
      <c r="F656" s="10" t="s">
        <v>2700</v>
      </c>
      <c r="G656" s="10" t="s">
        <v>507</v>
      </c>
      <c r="H656" s="10" t="s">
        <v>25</v>
      </c>
      <c r="I656" s="10" t="s">
        <v>2701</v>
      </c>
    </row>
    <row r="657" customFormat="false" ht="39" hidden="false" customHeight="true" outlineLevel="0" collapsed="false">
      <c r="A657" s="9" t="s">
        <v>2702</v>
      </c>
      <c r="B657" s="9" t="s">
        <v>2703</v>
      </c>
      <c r="C657" s="9" t="s">
        <v>2704</v>
      </c>
      <c r="D657" s="9" t="n">
        <v>2016</v>
      </c>
      <c r="E657" s="9" t="s">
        <v>103</v>
      </c>
      <c r="F657" s="9" t="s">
        <v>2705</v>
      </c>
      <c r="G657" s="9" t="s">
        <v>507</v>
      </c>
      <c r="H657" s="9" t="s">
        <v>25</v>
      </c>
      <c r="I657" s="9" t="s">
        <v>2706</v>
      </c>
    </row>
    <row r="658" customFormat="false" ht="39" hidden="false" customHeight="true" outlineLevel="0" collapsed="false">
      <c r="A658" s="10" t="s">
        <v>2702</v>
      </c>
      <c r="B658" s="10" t="s">
        <v>2703</v>
      </c>
      <c r="C658" s="10" t="s">
        <v>2704</v>
      </c>
      <c r="D658" s="10" t="n">
        <v>2016</v>
      </c>
      <c r="E658" s="10" t="s">
        <v>103</v>
      </c>
      <c r="F658" s="10" t="s">
        <v>2705</v>
      </c>
      <c r="G658" s="10" t="s">
        <v>527</v>
      </c>
      <c r="H658" s="10" t="s">
        <v>25</v>
      </c>
      <c r="I658" s="10" t="s">
        <v>2706</v>
      </c>
    </row>
    <row r="659" customFormat="false" ht="25.5" hidden="false" customHeight="true" outlineLevel="0" collapsed="false">
      <c r="A659" s="9" t="s">
        <v>2707</v>
      </c>
      <c r="B659" s="9" t="s">
        <v>2708</v>
      </c>
      <c r="C659" s="9" t="s">
        <v>2709</v>
      </c>
      <c r="D659" s="9" t="n">
        <v>2016</v>
      </c>
      <c r="E659" s="9" t="s">
        <v>58</v>
      </c>
      <c r="F659" s="9" t="s">
        <v>2710</v>
      </c>
      <c r="G659" s="9" t="s">
        <v>527</v>
      </c>
      <c r="H659" s="9" t="s">
        <v>25</v>
      </c>
      <c r="I659" s="9" t="s">
        <v>2711</v>
      </c>
    </row>
    <row r="660" customFormat="false" ht="39" hidden="false" customHeight="true" outlineLevel="0" collapsed="false">
      <c r="A660" s="9" t="s">
        <v>2712</v>
      </c>
      <c r="B660" s="9" t="s">
        <v>2713</v>
      </c>
      <c r="C660" s="9" t="s">
        <v>2714</v>
      </c>
      <c r="D660" s="9" t="n">
        <v>2026</v>
      </c>
      <c r="E660" s="9" t="s">
        <v>2715</v>
      </c>
      <c r="F660" s="9" t="s">
        <v>2716</v>
      </c>
      <c r="G660" s="9" t="s">
        <v>2717</v>
      </c>
      <c r="H660" s="9" t="s">
        <v>335</v>
      </c>
      <c r="I660" s="9" t="s">
        <v>2718</v>
      </c>
    </row>
    <row r="661" customFormat="false" ht="39" hidden="false" customHeight="true" outlineLevel="0" collapsed="false">
      <c r="A661" s="10" t="s">
        <v>2719</v>
      </c>
      <c r="B661" s="10" t="s">
        <v>321</v>
      </c>
      <c r="C661" s="10" t="s">
        <v>320</v>
      </c>
      <c r="D661" s="10" t="n">
        <v>2026</v>
      </c>
      <c r="E661" s="10" t="s">
        <v>322</v>
      </c>
      <c r="F661" s="10" t="s">
        <v>323</v>
      </c>
      <c r="G661" s="10" t="s">
        <v>2717</v>
      </c>
      <c r="H661" s="10" t="s">
        <v>25</v>
      </c>
      <c r="I661" s="10" t="s">
        <v>2720</v>
      </c>
    </row>
    <row r="662" customFormat="false" ht="39" hidden="false" customHeight="true" outlineLevel="0" collapsed="false">
      <c r="A662" s="9" t="s">
        <v>2719</v>
      </c>
      <c r="B662" s="9" t="s">
        <v>321</v>
      </c>
      <c r="C662" s="9" t="s">
        <v>320</v>
      </c>
      <c r="D662" s="9" t="n">
        <v>2026</v>
      </c>
      <c r="E662" s="9" t="s">
        <v>322</v>
      </c>
      <c r="F662" s="9" t="s">
        <v>323</v>
      </c>
      <c r="G662" s="9" t="s">
        <v>2721</v>
      </c>
      <c r="H662" s="9" t="s">
        <v>25</v>
      </c>
      <c r="I662" s="9" t="s">
        <v>2720</v>
      </c>
    </row>
    <row r="663" customFormat="false" ht="39" hidden="false" customHeight="true" outlineLevel="0" collapsed="false">
      <c r="A663" s="10" t="s">
        <v>2719</v>
      </c>
      <c r="B663" s="10" t="s">
        <v>321</v>
      </c>
      <c r="C663" s="10" t="s">
        <v>320</v>
      </c>
      <c r="D663" s="10" t="n">
        <v>2026</v>
      </c>
      <c r="E663" s="10" t="s">
        <v>322</v>
      </c>
      <c r="F663" s="10" t="s">
        <v>323</v>
      </c>
      <c r="G663" s="10" t="s">
        <v>2722</v>
      </c>
      <c r="H663" s="10" t="s">
        <v>25</v>
      </c>
      <c r="I663" s="10" t="s">
        <v>2720</v>
      </c>
    </row>
    <row r="664" customFormat="false" ht="39" hidden="false" customHeight="true" outlineLevel="0" collapsed="false">
      <c r="A664" s="9" t="s">
        <v>2723</v>
      </c>
      <c r="B664" s="9" t="s">
        <v>332</v>
      </c>
      <c r="C664" s="9" t="s">
        <v>331</v>
      </c>
      <c r="D664" s="9" t="n">
        <v>2026</v>
      </c>
      <c r="E664" s="9" t="s">
        <v>333</v>
      </c>
      <c r="F664" s="9" t="s">
        <v>334</v>
      </c>
      <c r="G664" s="9" t="s">
        <v>2721</v>
      </c>
      <c r="H664" s="9" t="s">
        <v>335</v>
      </c>
      <c r="I664" s="9" t="s">
        <v>2724</v>
      </c>
    </row>
    <row r="665" customFormat="false" ht="39" hidden="false" customHeight="true" outlineLevel="0" collapsed="false">
      <c r="A665" s="10" t="s">
        <v>2723</v>
      </c>
      <c r="B665" s="10" t="s">
        <v>332</v>
      </c>
      <c r="C665" s="10" t="s">
        <v>331</v>
      </c>
      <c r="D665" s="10" t="n">
        <v>2026</v>
      </c>
      <c r="E665" s="10" t="s">
        <v>333</v>
      </c>
      <c r="F665" s="10" t="s">
        <v>334</v>
      </c>
      <c r="G665" s="10" t="s">
        <v>2722</v>
      </c>
      <c r="H665" s="10" t="s">
        <v>335</v>
      </c>
      <c r="I665" s="10" t="s">
        <v>2724</v>
      </c>
    </row>
    <row r="666" customFormat="false" ht="25.5" hidden="false" customHeight="true" outlineLevel="0" collapsed="false">
      <c r="A666" s="9" t="s">
        <v>2725</v>
      </c>
      <c r="B666" s="9" t="s">
        <v>2726</v>
      </c>
      <c r="C666" s="9" t="s">
        <v>2727</v>
      </c>
      <c r="D666" s="9" t="n">
        <v>2026</v>
      </c>
      <c r="E666" s="9" t="s">
        <v>2728</v>
      </c>
      <c r="F666" s="9" t="s">
        <v>2729</v>
      </c>
      <c r="G666" s="9" t="s">
        <v>2717</v>
      </c>
      <c r="H666" s="9" t="s">
        <v>514</v>
      </c>
      <c r="I666" s="9" t="s">
        <v>2730</v>
      </c>
    </row>
    <row r="667" customFormat="false" ht="25.5" hidden="false" customHeight="true" outlineLevel="0" collapsed="false">
      <c r="A667" s="10" t="s">
        <v>2725</v>
      </c>
      <c r="B667" s="10" t="s">
        <v>2726</v>
      </c>
      <c r="C667" s="10" t="s">
        <v>2727</v>
      </c>
      <c r="D667" s="10" t="n">
        <v>2026</v>
      </c>
      <c r="E667" s="10" t="s">
        <v>2728</v>
      </c>
      <c r="F667" s="10" t="s">
        <v>2729</v>
      </c>
      <c r="G667" s="10" t="s">
        <v>2722</v>
      </c>
      <c r="H667" s="10" t="s">
        <v>514</v>
      </c>
      <c r="I667" s="10" t="s">
        <v>2730</v>
      </c>
    </row>
    <row r="668" customFormat="false" ht="64.5" hidden="false" customHeight="true" outlineLevel="0" collapsed="false">
      <c r="A668" s="9" t="s">
        <v>2731</v>
      </c>
      <c r="B668" s="9" t="s">
        <v>2732</v>
      </c>
      <c r="C668" s="9" t="s">
        <v>2733</v>
      </c>
      <c r="D668" s="9" t="n">
        <v>2025</v>
      </c>
      <c r="E668" s="9" t="s">
        <v>2734</v>
      </c>
      <c r="F668" s="9"/>
      <c r="G668" s="9" t="s">
        <v>2735</v>
      </c>
      <c r="H668" s="9" t="s">
        <v>335</v>
      </c>
      <c r="I668" s="9" t="s">
        <v>2736</v>
      </c>
    </row>
    <row r="669" customFormat="false" ht="64.5" hidden="false" customHeight="true" outlineLevel="0" collapsed="false">
      <c r="A669" s="10" t="s">
        <v>2737</v>
      </c>
      <c r="B669" s="10" t="s">
        <v>2732</v>
      </c>
      <c r="C669" s="10" t="s">
        <v>2738</v>
      </c>
      <c r="D669" s="10" t="n">
        <v>2025</v>
      </c>
      <c r="E669" s="10" t="s">
        <v>2734</v>
      </c>
      <c r="F669" s="10"/>
      <c r="G669" s="10" t="s">
        <v>2722</v>
      </c>
      <c r="H669" s="10" t="s">
        <v>514</v>
      </c>
      <c r="I669" s="10" t="s">
        <v>2739</v>
      </c>
    </row>
    <row r="670" customFormat="false" ht="51.75" hidden="false" customHeight="true" outlineLevel="0" collapsed="false">
      <c r="A670" s="9" t="s">
        <v>2740</v>
      </c>
      <c r="B670" s="9" t="s">
        <v>379</v>
      </c>
      <c r="C670" s="9" t="s">
        <v>378</v>
      </c>
      <c r="D670" s="9" t="n">
        <v>2025</v>
      </c>
      <c r="E670" s="9" t="s">
        <v>380</v>
      </c>
      <c r="F670" s="9" t="s">
        <v>381</v>
      </c>
      <c r="G670" s="9" t="s">
        <v>2717</v>
      </c>
      <c r="H670" s="9" t="s">
        <v>25</v>
      </c>
      <c r="I670" s="9" t="s">
        <v>2741</v>
      </c>
    </row>
    <row r="671" customFormat="false" ht="51.75" hidden="false" customHeight="true" outlineLevel="0" collapsed="false">
      <c r="A671" s="10" t="s">
        <v>2740</v>
      </c>
      <c r="B671" s="10" t="s">
        <v>379</v>
      </c>
      <c r="C671" s="10" t="s">
        <v>378</v>
      </c>
      <c r="D671" s="10" t="n">
        <v>2025</v>
      </c>
      <c r="E671" s="10" t="s">
        <v>380</v>
      </c>
      <c r="F671" s="10" t="s">
        <v>381</v>
      </c>
      <c r="G671" s="10" t="s">
        <v>2722</v>
      </c>
      <c r="H671" s="10" t="s">
        <v>25</v>
      </c>
      <c r="I671" s="10" t="s">
        <v>2741</v>
      </c>
    </row>
    <row r="672" customFormat="false" ht="39" hidden="false" customHeight="true" outlineLevel="0" collapsed="false">
      <c r="A672" s="9" t="s">
        <v>2742</v>
      </c>
      <c r="B672" s="9" t="s">
        <v>2743</v>
      </c>
      <c r="C672" s="9" t="s">
        <v>2744</v>
      </c>
      <c r="D672" s="9" t="n">
        <v>2025</v>
      </c>
      <c r="E672" s="9" t="s">
        <v>2745</v>
      </c>
      <c r="F672" s="9"/>
      <c r="G672" s="9" t="s">
        <v>2722</v>
      </c>
      <c r="H672" s="9" t="s">
        <v>514</v>
      </c>
      <c r="I672" s="9" t="s">
        <v>2746</v>
      </c>
    </row>
    <row r="673" customFormat="false" ht="51.75" hidden="false" customHeight="true" outlineLevel="0" collapsed="false">
      <c r="A673" s="10" t="s">
        <v>2747</v>
      </c>
      <c r="B673" s="10" t="s">
        <v>2748</v>
      </c>
      <c r="C673" s="10" t="s">
        <v>2749</v>
      </c>
      <c r="D673" s="10" t="n">
        <v>2025</v>
      </c>
      <c r="E673" s="10" t="s">
        <v>2750</v>
      </c>
      <c r="F673" s="10" t="s">
        <v>2751</v>
      </c>
      <c r="G673" s="10" t="s">
        <v>2717</v>
      </c>
      <c r="H673" s="10" t="s">
        <v>335</v>
      </c>
      <c r="I673" s="10" t="s">
        <v>2752</v>
      </c>
    </row>
    <row r="674" customFormat="false" ht="39" hidden="false" customHeight="true" outlineLevel="0" collapsed="false">
      <c r="A674" s="9" t="s">
        <v>2753</v>
      </c>
      <c r="B674" s="9" t="s">
        <v>367</v>
      </c>
      <c r="C674" s="9" t="s">
        <v>366</v>
      </c>
      <c r="D674" s="9" t="n">
        <v>2024</v>
      </c>
      <c r="E674" s="9" t="s">
        <v>368</v>
      </c>
      <c r="F674" s="9" t="s">
        <v>369</v>
      </c>
      <c r="G674" s="9" t="s">
        <v>2717</v>
      </c>
      <c r="H674" s="9" t="s">
        <v>25</v>
      </c>
      <c r="I674" s="9" t="s">
        <v>2754</v>
      </c>
    </row>
    <row r="675" customFormat="false" ht="39" hidden="false" customHeight="true" outlineLevel="0" collapsed="false">
      <c r="A675" s="10" t="s">
        <v>2753</v>
      </c>
      <c r="B675" s="10" t="s">
        <v>367</v>
      </c>
      <c r="C675" s="10" t="s">
        <v>366</v>
      </c>
      <c r="D675" s="10" t="n">
        <v>2024</v>
      </c>
      <c r="E675" s="10" t="s">
        <v>368</v>
      </c>
      <c r="F675" s="10" t="s">
        <v>369</v>
      </c>
      <c r="G675" s="10" t="s">
        <v>2722</v>
      </c>
      <c r="H675" s="10" t="s">
        <v>25</v>
      </c>
      <c r="I675" s="10" t="s">
        <v>2754</v>
      </c>
    </row>
    <row r="676" customFormat="false" ht="39" hidden="false" customHeight="true" outlineLevel="0" collapsed="false">
      <c r="A676" s="9" t="s">
        <v>2755</v>
      </c>
      <c r="B676" s="9" t="s">
        <v>352</v>
      </c>
      <c r="C676" s="9" t="s">
        <v>351</v>
      </c>
      <c r="D676" s="9" t="n">
        <v>2022</v>
      </c>
      <c r="E676" s="9" t="s">
        <v>353</v>
      </c>
      <c r="F676" s="9" t="s">
        <v>354</v>
      </c>
      <c r="G676" s="9" t="s">
        <v>2717</v>
      </c>
      <c r="H676" s="9" t="s">
        <v>335</v>
      </c>
      <c r="I676" s="9" t="s">
        <v>2756</v>
      </c>
    </row>
    <row r="677" customFormat="false" ht="39" hidden="false" customHeight="true" outlineLevel="0" collapsed="false">
      <c r="A677" s="10" t="s">
        <v>2755</v>
      </c>
      <c r="B677" s="10" t="s">
        <v>352</v>
      </c>
      <c r="C677" s="10" t="s">
        <v>351</v>
      </c>
      <c r="D677" s="10" t="n">
        <v>2022</v>
      </c>
      <c r="E677" s="10" t="s">
        <v>353</v>
      </c>
      <c r="F677" s="10" t="s">
        <v>354</v>
      </c>
      <c r="G677" s="10" t="s">
        <v>2735</v>
      </c>
      <c r="H677" s="10" t="s">
        <v>335</v>
      </c>
      <c r="I677" s="10" t="s">
        <v>2756</v>
      </c>
    </row>
    <row r="678" customFormat="false" ht="39" hidden="false" customHeight="true" outlineLevel="0" collapsed="false">
      <c r="A678" s="9" t="s">
        <v>2757</v>
      </c>
      <c r="B678" s="9" t="s">
        <v>2758</v>
      </c>
      <c r="C678" s="9" t="s">
        <v>2759</v>
      </c>
      <c r="D678" s="9" t="n">
        <v>2022</v>
      </c>
      <c r="E678" s="9" t="s">
        <v>2759</v>
      </c>
      <c r="F678" s="9"/>
      <c r="G678" s="9" t="s">
        <v>2717</v>
      </c>
      <c r="H678" s="9" t="s">
        <v>514</v>
      </c>
      <c r="I678" s="9" t="s">
        <v>2760</v>
      </c>
    </row>
    <row r="679" customFormat="false" ht="39" hidden="false" customHeight="true" outlineLevel="0" collapsed="false">
      <c r="A679" s="10" t="s">
        <v>2757</v>
      </c>
      <c r="B679" s="10" t="s">
        <v>2758</v>
      </c>
      <c r="C679" s="10" t="s">
        <v>2759</v>
      </c>
      <c r="D679" s="10" t="n">
        <v>2022</v>
      </c>
      <c r="E679" s="10" t="s">
        <v>2759</v>
      </c>
      <c r="F679" s="10"/>
      <c r="G679" s="10" t="s">
        <v>2735</v>
      </c>
      <c r="H679" s="10" t="s">
        <v>514</v>
      </c>
      <c r="I679" s="10" t="s">
        <v>2760</v>
      </c>
    </row>
    <row r="680" customFormat="false" ht="39" hidden="false" customHeight="true" outlineLevel="0" collapsed="false">
      <c r="A680" s="9" t="s">
        <v>2761</v>
      </c>
      <c r="B680" s="9" t="s">
        <v>2762</v>
      </c>
      <c r="C680" s="9" t="s">
        <v>2763</v>
      </c>
      <c r="D680" s="9" t="n">
        <v>2022</v>
      </c>
      <c r="E680" s="9" t="s">
        <v>2764</v>
      </c>
      <c r="F680" s="9" t="s">
        <v>2765</v>
      </c>
      <c r="G680" s="9" t="s">
        <v>2721</v>
      </c>
      <c r="H680" s="9" t="s">
        <v>25</v>
      </c>
      <c r="I680" s="9" t="s">
        <v>2766</v>
      </c>
    </row>
    <row r="681" customFormat="false" ht="39" hidden="false" customHeight="true" outlineLevel="0" collapsed="false">
      <c r="A681" s="10" t="s">
        <v>2761</v>
      </c>
      <c r="B681" s="10" t="s">
        <v>2762</v>
      </c>
      <c r="C681" s="10" t="s">
        <v>2763</v>
      </c>
      <c r="D681" s="10" t="n">
        <v>2022</v>
      </c>
      <c r="E681" s="10" t="s">
        <v>2764</v>
      </c>
      <c r="F681" s="10" t="s">
        <v>2765</v>
      </c>
      <c r="G681" s="10" t="s">
        <v>2735</v>
      </c>
      <c r="H681" s="10" t="s">
        <v>25</v>
      </c>
      <c r="I681" s="10" t="s">
        <v>2766</v>
      </c>
    </row>
    <row r="682" customFormat="false" ht="39" hidden="false" customHeight="true" outlineLevel="0" collapsed="false">
      <c r="A682" s="9" t="s">
        <v>2767</v>
      </c>
      <c r="B682" s="9" t="s">
        <v>2768</v>
      </c>
      <c r="C682" s="9" t="s">
        <v>2769</v>
      </c>
      <c r="D682" s="9" t="n">
        <v>2021</v>
      </c>
      <c r="E682" s="9" t="s">
        <v>2770</v>
      </c>
      <c r="F682" s="9" t="s">
        <v>2771</v>
      </c>
      <c r="G682" s="9" t="s">
        <v>2717</v>
      </c>
      <c r="H682" s="9" t="s">
        <v>25</v>
      </c>
      <c r="I682" s="9" t="s">
        <v>2772</v>
      </c>
    </row>
    <row r="683" customFormat="false" ht="51.75" hidden="false" customHeight="true" outlineLevel="0" collapsed="false">
      <c r="A683" s="10" t="s">
        <v>2773</v>
      </c>
      <c r="B683" s="10" t="s">
        <v>2774</v>
      </c>
      <c r="C683" s="10" t="s">
        <v>2775</v>
      </c>
      <c r="D683" s="10" t="n">
        <v>2021</v>
      </c>
      <c r="E683" s="10" t="s">
        <v>2776</v>
      </c>
      <c r="F683" s="10" t="s">
        <v>2777</v>
      </c>
      <c r="G683" s="10" t="s">
        <v>2735</v>
      </c>
      <c r="H683" s="10" t="s">
        <v>335</v>
      </c>
      <c r="I683" s="10" t="s">
        <v>2778</v>
      </c>
    </row>
    <row r="684" customFormat="false" ht="51.75" hidden="false" customHeight="true" outlineLevel="0" collapsed="false">
      <c r="A684" s="9" t="s">
        <v>2779</v>
      </c>
      <c r="B684" s="9" t="s">
        <v>2780</v>
      </c>
      <c r="C684" s="9" t="s">
        <v>2781</v>
      </c>
      <c r="D684" s="9" t="n">
        <v>2021</v>
      </c>
      <c r="E684" s="9" t="s">
        <v>2770</v>
      </c>
      <c r="F684" s="9" t="s">
        <v>2782</v>
      </c>
      <c r="G684" s="9" t="s">
        <v>2722</v>
      </c>
      <c r="H684" s="9" t="s">
        <v>25</v>
      </c>
      <c r="I684" s="9" t="s">
        <v>2783</v>
      </c>
    </row>
    <row r="685" customFormat="false" ht="39" hidden="false" customHeight="true" outlineLevel="0" collapsed="false">
      <c r="A685" s="10" t="s">
        <v>2784</v>
      </c>
      <c r="B685" s="10" t="s">
        <v>383</v>
      </c>
      <c r="C685" s="10" t="s">
        <v>382</v>
      </c>
      <c r="D685" s="10" t="n">
        <v>2020</v>
      </c>
      <c r="E685" s="10" t="s">
        <v>384</v>
      </c>
      <c r="F685" s="10" t="s">
        <v>385</v>
      </c>
      <c r="G685" s="10" t="s">
        <v>2722</v>
      </c>
      <c r="H685" s="10" t="s">
        <v>335</v>
      </c>
      <c r="I685" s="10" t="s">
        <v>2785</v>
      </c>
    </row>
    <row r="686" customFormat="false" ht="51.75" hidden="false" customHeight="true" outlineLevel="0" collapsed="false">
      <c r="A686" s="9" t="s">
        <v>2786</v>
      </c>
      <c r="B686" s="9" t="s">
        <v>2787</v>
      </c>
      <c r="C686" s="9" t="s">
        <v>2788</v>
      </c>
      <c r="D686" s="9" t="n">
        <v>2019</v>
      </c>
      <c r="E686" s="9" t="s">
        <v>2789</v>
      </c>
      <c r="F686" s="9"/>
      <c r="G686" s="9" t="s">
        <v>2717</v>
      </c>
      <c r="H686" s="9" t="s">
        <v>514</v>
      </c>
      <c r="I686" s="9" t="s">
        <v>2790</v>
      </c>
    </row>
    <row r="687" customFormat="false" ht="51.75" hidden="false" customHeight="true" outlineLevel="0" collapsed="false">
      <c r="A687" s="10" t="s">
        <v>2786</v>
      </c>
      <c r="B687" s="10" t="s">
        <v>2787</v>
      </c>
      <c r="C687" s="10" t="s">
        <v>2788</v>
      </c>
      <c r="D687" s="10" t="n">
        <v>2019</v>
      </c>
      <c r="E687" s="10" t="s">
        <v>2789</v>
      </c>
      <c r="F687" s="10"/>
      <c r="G687" s="10" t="s">
        <v>2722</v>
      </c>
      <c r="H687" s="10" t="s">
        <v>514</v>
      </c>
      <c r="I687" s="10" t="s">
        <v>2790</v>
      </c>
    </row>
    <row r="688" customFormat="false" ht="51.75" hidden="false" customHeight="true" outlineLevel="0" collapsed="false">
      <c r="A688" s="9" t="s">
        <v>2786</v>
      </c>
      <c r="B688" s="9" t="s">
        <v>2787</v>
      </c>
      <c r="C688" s="9" t="s">
        <v>2788</v>
      </c>
      <c r="D688" s="9" t="n">
        <v>2019</v>
      </c>
      <c r="E688" s="9" t="s">
        <v>2789</v>
      </c>
      <c r="F688" s="9"/>
      <c r="G688" s="9" t="s">
        <v>2735</v>
      </c>
      <c r="H688" s="9" t="s">
        <v>514</v>
      </c>
      <c r="I688" s="9" t="s">
        <v>2790</v>
      </c>
    </row>
    <row r="689" customFormat="false" ht="51.75" hidden="false" customHeight="true" outlineLevel="0" collapsed="false">
      <c r="A689" s="10" t="s">
        <v>2791</v>
      </c>
      <c r="B689" s="10" t="s">
        <v>2787</v>
      </c>
      <c r="C689" s="10" t="s">
        <v>2792</v>
      </c>
      <c r="D689" s="10" t="n">
        <v>2019</v>
      </c>
      <c r="E689" s="10" t="s">
        <v>2789</v>
      </c>
      <c r="F689" s="10"/>
      <c r="G689" s="10" t="s">
        <v>2717</v>
      </c>
      <c r="H689" s="10" t="s">
        <v>514</v>
      </c>
      <c r="I689" s="10" t="s">
        <v>2793</v>
      </c>
    </row>
    <row r="690" customFormat="false" ht="51.75" hidden="false" customHeight="true" outlineLevel="0" collapsed="false">
      <c r="A690" s="9" t="s">
        <v>2791</v>
      </c>
      <c r="B690" s="9" t="s">
        <v>2787</v>
      </c>
      <c r="C690" s="9" t="s">
        <v>2792</v>
      </c>
      <c r="D690" s="9" t="n">
        <v>2019</v>
      </c>
      <c r="E690" s="9" t="s">
        <v>2789</v>
      </c>
      <c r="F690" s="9"/>
      <c r="G690" s="9" t="s">
        <v>2735</v>
      </c>
      <c r="H690" s="9" t="s">
        <v>514</v>
      </c>
      <c r="I690" s="9" t="s">
        <v>2793</v>
      </c>
    </row>
    <row r="691" customFormat="false" ht="39" hidden="false" customHeight="true" outlineLevel="0" collapsed="false">
      <c r="A691" s="10" t="s">
        <v>2794</v>
      </c>
      <c r="B691" s="10"/>
      <c r="C691" s="10" t="s">
        <v>2795</v>
      </c>
      <c r="D691" s="10" t="n">
        <v>2019</v>
      </c>
      <c r="E691" s="10" t="s">
        <v>2796</v>
      </c>
      <c r="F691" s="10" t="s">
        <v>2797</v>
      </c>
      <c r="G691" s="10" t="s">
        <v>2717</v>
      </c>
      <c r="H691" s="10" t="s">
        <v>514</v>
      </c>
      <c r="I691" s="10" t="s">
        <v>2798</v>
      </c>
    </row>
    <row r="692" customFormat="false" ht="39" hidden="false" customHeight="true" outlineLevel="0" collapsed="false">
      <c r="A692" s="9" t="s">
        <v>2794</v>
      </c>
      <c r="B692" s="9"/>
      <c r="C692" s="9" t="s">
        <v>2795</v>
      </c>
      <c r="D692" s="9" t="n">
        <v>2019</v>
      </c>
      <c r="E692" s="9" t="s">
        <v>2796</v>
      </c>
      <c r="F692" s="9" t="s">
        <v>2797</v>
      </c>
      <c r="G692" s="9" t="s">
        <v>2721</v>
      </c>
      <c r="H692" s="9" t="s">
        <v>514</v>
      </c>
      <c r="I692" s="9" t="s">
        <v>2798</v>
      </c>
    </row>
    <row r="693" customFormat="false" ht="39" hidden="false" customHeight="true" outlineLevel="0" collapsed="false">
      <c r="A693" s="10" t="s">
        <v>2794</v>
      </c>
      <c r="B693" s="10"/>
      <c r="C693" s="10" t="s">
        <v>2795</v>
      </c>
      <c r="D693" s="10" t="n">
        <v>2019</v>
      </c>
      <c r="E693" s="10" t="s">
        <v>2796</v>
      </c>
      <c r="F693" s="10" t="s">
        <v>2797</v>
      </c>
      <c r="G693" s="10" t="s">
        <v>2722</v>
      </c>
      <c r="H693" s="10" t="s">
        <v>514</v>
      </c>
      <c r="I693" s="10" t="s">
        <v>2798</v>
      </c>
    </row>
    <row r="694" customFormat="false" ht="39" hidden="false" customHeight="true" outlineLevel="0" collapsed="false">
      <c r="A694" s="9" t="s">
        <v>2799</v>
      </c>
      <c r="B694" s="9" t="s">
        <v>2800</v>
      </c>
      <c r="C694" s="9" t="s">
        <v>2801</v>
      </c>
      <c r="D694" s="9" t="n">
        <v>2019</v>
      </c>
      <c r="E694" s="9" t="s">
        <v>2796</v>
      </c>
      <c r="F694" s="9" t="s">
        <v>2802</v>
      </c>
      <c r="G694" s="9" t="s">
        <v>2717</v>
      </c>
      <c r="H694" s="9" t="s">
        <v>25</v>
      </c>
      <c r="I694" s="9" t="s">
        <v>2803</v>
      </c>
    </row>
    <row r="695" customFormat="false" ht="39" hidden="false" customHeight="true" outlineLevel="0" collapsed="false">
      <c r="A695" s="10" t="s">
        <v>2804</v>
      </c>
      <c r="B695" s="10"/>
      <c r="C695" s="10" t="s">
        <v>2805</v>
      </c>
      <c r="D695" s="10" t="n">
        <v>2019</v>
      </c>
      <c r="E695" s="10" t="s">
        <v>2796</v>
      </c>
      <c r="F695" s="10" t="s">
        <v>2806</v>
      </c>
      <c r="G695" s="10" t="s">
        <v>2717</v>
      </c>
      <c r="H695" s="10" t="s">
        <v>514</v>
      </c>
      <c r="I695" s="10" t="s">
        <v>2807</v>
      </c>
    </row>
    <row r="696" customFormat="false" ht="39" hidden="false" customHeight="true" outlineLevel="0" collapsed="false">
      <c r="A696" s="9" t="s">
        <v>2804</v>
      </c>
      <c r="B696" s="9"/>
      <c r="C696" s="9" t="s">
        <v>2805</v>
      </c>
      <c r="D696" s="9" t="n">
        <v>2019</v>
      </c>
      <c r="E696" s="9" t="s">
        <v>2796</v>
      </c>
      <c r="F696" s="9" t="s">
        <v>2806</v>
      </c>
      <c r="G696" s="9" t="s">
        <v>2721</v>
      </c>
      <c r="H696" s="9" t="s">
        <v>514</v>
      </c>
      <c r="I696" s="9" t="s">
        <v>2807</v>
      </c>
    </row>
    <row r="697" customFormat="false" ht="39" hidden="false" customHeight="true" outlineLevel="0" collapsed="false">
      <c r="A697" s="10" t="s">
        <v>2804</v>
      </c>
      <c r="B697" s="10"/>
      <c r="C697" s="10" t="s">
        <v>2805</v>
      </c>
      <c r="D697" s="10" t="n">
        <v>2019</v>
      </c>
      <c r="E697" s="10" t="s">
        <v>2796</v>
      </c>
      <c r="F697" s="10" t="s">
        <v>2806</v>
      </c>
      <c r="G697" s="10" t="s">
        <v>2722</v>
      </c>
      <c r="H697" s="10" t="s">
        <v>514</v>
      </c>
      <c r="I697" s="10" t="s">
        <v>2807</v>
      </c>
    </row>
    <row r="698" customFormat="false" ht="25.5" hidden="false" customHeight="true" outlineLevel="0" collapsed="false">
      <c r="A698" s="9" t="s">
        <v>2808</v>
      </c>
      <c r="B698" s="9"/>
      <c r="C698" s="9" t="s">
        <v>2809</v>
      </c>
      <c r="D698" s="9" t="n">
        <v>2017</v>
      </c>
      <c r="E698" s="9" t="s">
        <v>2810</v>
      </c>
      <c r="F698" s="9"/>
      <c r="G698" s="9" t="s">
        <v>2717</v>
      </c>
      <c r="H698" s="9" t="s">
        <v>514</v>
      </c>
      <c r="I698" s="9" t="s">
        <v>2811</v>
      </c>
    </row>
    <row r="699" customFormat="false" ht="25.5" hidden="false" customHeight="true" outlineLevel="0" collapsed="false">
      <c r="A699" s="10" t="s">
        <v>2808</v>
      </c>
      <c r="B699" s="10"/>
      <c r="C699" s="10" t="s">
        <v>2809</v>
      </c>
      <c r="D699" s="10" t="n">
        <v>2017</v>
      </c>
      <c r="E699" s="10" t="s">
        <v>2810</v>
      </c>
      <c r="F699" s="10"/>
      <c r="G699" s="10" t="s">
        <v>2735</v>
      </c>
      <c r="H699" s="10" t="s">
        <v>514</v>
      </c>
      <c r="I699" s="10" t="s">
        <v>2811</v>
      </c>
    </row>
    <row r="700" customFormat="false" ht="25.5" hidden="false" customHeight="true" outlineLevel="0" collapsed="false">
      <c r="A700" s="9" t="s">
        <v>2812</v>
      </c>
      <c r="B700" s="9"/>
      <c r="C700" s="9" t="s">
        <v>2813</v>
      </c>
      <c r="D700" s="9" t="n">
        <v>2017</v>
      </c>
      <c r="E700" s="9" t="s">
        <v>2810</v>
      </c>
      <c r="F700" s="9"/>
      <c r="G700" s="9" t="s">
        <v>2717</v>
      </c>
      <c r="H700" s="9" t="s">
        <v>514</v>
      </c>
      <c r="I700" s="9" t="s">
        <v>2814</v>
      </c>
    </row>
    <row r="701" customFormat="false" ht="25.5" hidden="false" customHeight="true" outlineLevel="0" collapsed="false">
      <c r="A701" s="10" t="s">
        <v>2812</v>
      </c>
      <c r="B701" s="10"/>
      <c r="C701" s="10" t="s">
        <v>2813</v>
      </c>
      <c r="D701" s="10" t="n">
        <v>2017</v>
      </c>
      <c r="E701" s="10" t="s">
        <v>2810</v>
      </c>
      <c r="F701" s="10"/>
      <c r="G701" s="10" t="s">
        <v>2735</v>
      </c>
      <c r="H701" s="10" t="s">
        <v>514</v>
      </c>
      <c r="I701" s="10" t="s">
        <v>2814</v>
      </c>
    </row>
    <row r="702" customFormat="false" ht="25.5" hidden="false" customHeight="true" outlineLevel="0" collapsed="false">
      <c r="A702" s="9" t="s">
        <v>2815</v>
      </c>
      <c r="B702" s="9"/>
      <c r="C702" s="9" t="s">
        <v>2816</v>
      </c>
      <c r="D702" s="9" t="n">
        <v>2017</v>
      </c>
      <c r="E702" s="9" t="s">
        <v>2810</v>
      </c>
      <c r="F702" s="9"/>
      <c r="G702" s="9" t="s">
        <v>2717</v>
      </c>
      <c r="H702" s="9" t="s">
        <v>514</v>
      </c>
      <c r="I702" s="9" t="s">
        <v>2817</v>
      </c>
    </row>
    <row r="703" customFormat="false" ht="25.5" hidden="false" customHeight="true" outlineLevel="0" collapsed="false">
      <c r="A703" s="10" t="s">
        <v>2815</v>
      </c>
      <c r="B703" s="10"/>
      <c r="C703" s="10" t="s">
        <v>2816</v>
      </c>
      <c r="D703" s="10" t="n">
        <v>2017</v>
      </c>
      <c r="E703" s="10" t="s">
        <v>2810</v>
      </c>
      <c r="F703" s="10"/>
      <c r="G703" s="10" t="s">
        <v>2735</v>
      </c>
      <c r="H703" s="10" t="s">
        <v>514</v>
      </c>
      <c r="I703" s="10" t="s">
        <v>2817</v>
      </c>
    </row>
    <row r="704" customFormat="false" ht="25.5" hidden="false" customHeight="true" outlineLevel="0" collapsed="false">
      <c r="A704" s="9" t="s">
        <v>2818</v>
      </c>
      <c r="B704" s="9"/>
      <c r="C704" s="9" t="s">
        <v>2819</v>
      </c>
      <c r="D704" s="9" t="n">
        <v>2017</v>
      </c>
      <c r="E704" s="9" t="s">
        <v>2810</v>
      </c>
      <c r="F704" s="9"/>
      <c r="G704" s="9" t="s">
        <v>2717</v>
      </c>
      <c r="H704" s="9" t="s">
        <v>514</v>
      </c>
      <c r="I704" s="9" t="s">
        <v>2820</v>
      </c>
    </row>
    <row r="705" customFormat="false" ht="25.5" hidden="false" customHeight="true" outlineLevel="0" collapsed="false">
      <c r="A705" s="10" t="s">
        <v>2818</v>
      </c>
      <c r="B705" s="10"/>
      <c r="C705" s="10" t="s">
        <v>2819</v>
      </c>
      <c r="D705" s="10" t="n">
        <v>2017</v>
      </c>
      <c r="E705" s="10" t="s">
        <v>2810</v>
      </c>
      <c r="F705" s="10"/>
      <c r="G705" s="10" t="s">
        <v>2735</v>
      </c>
      <c r="H705" s="10" t="s">
        <v>514</v>
      </c>
      <c r="I705" s="10" t="s">
        <v>2820</v>
      </c>
    </row>
    <row r="706" customFormat="false" ht="39" hidden="false" customHeight="true" outlineLevel="0" collapsed="false">
      <c r="A706" s="9" t="s">
        <v>2821</v>
      </c>
      <c r="B706" s="9" t="s">
        <v>363</v>
      </c>
      <c r="C706" s="9" t="s">
        <v>362</v>
      </c>
      <c r="D706" s="9" t="n">
        <v>2017</v>
      </c>
      <c r="E706" s="9" t="s">
        <v>364</v>
      </c>
      <c r="F706" s="9" t="s">
        <v>365</v>
      </c>
      <c r="G706" s="9" t="s">
        <v>2722</v>
      </c>
      <c r="H706" s="9" t="s">
        <v>25</v>
      </c>
      <c r="I706" s="9" t="s">
        <v>2822</v>
      </c>
    </row>
    <row r="707" customFormat="false" ht="39" hidden="false" customHeight="true" outlineLevel="0" collapsed="false">
      <c r="A707" s="9" t="s">
        <v>2823</v>
      </c>
      <c r="B707" s="9" t="s">
        <v>2824</v>
      </c>
      <c r="C707" s="9" t="s">
        <v>2825</v>
      </c>
      <c r="D707" s="9" t="n">
        <v>2026</v>
      </c>
      <c r="E707" s="9" t="s">
        <v>2826</v>
      </c>
      <c r="F707" s="9" t="s">
        <v>2827</v>
      </c>
      <c r="G707" s="9" t="s">
        <v>2828</v>
      </c>
      <c r="H707" s="9" t="s">
        <v>25</v>
      </c>
      <c r="I707" s="9" t="s">
        <v>2829</v>
      </c>
    </row>
    <row r="708" customFormat="false" ht="39" hidden="false" customHeight="true" outlineLevel="0" collapsed="false">
      <c r="A708" s="10" t="s">
        <v>2830</v>
      </c>
      <c r="B708" s="10" t="s">
        <v>2831</v>
      </c>
      <c r="C708" s="10" t="s">
        <v>2832</v>
      </c>
      <c r="D708" s="10" t="n">
        <v>2026</v>
      </c>
      <c r="E708" s="10" t="s">
        <v>2833</v>
      </c>
      <c r="F708" s="10" t="s">
        <v>2834</v>
      </c>
      <c r="G708" s="10" t="s">
        <v>2828</v>
      </c>
      <c r="H708" s="10" t="s">
        <v>25</v>
      </c>
      <c r="I708" s="10" t="s">
        <v>2835</v>
      </c>
    </row>
    <row r="709" customFormat="false" ht="39" hidden="false" customHeight="true" outlineLevel="0" collapsed="false">
      <c r="A709" s="9" t="s">
        <v>2836</v>
      </c>
      <c r="B709" s="9" t="s">
        <v>2837</v>
      </c>
      <c r="C709" s="9" t="s">
        <v>524</v>
      </c>
      <c r="D709" s="9" t="n">
        <v>2026</v>
      </c>
      <c r="E709" s="9" t="s">
        <v>2838</v>
      </c>
      <c r="F709" s="9" t="s">
        <v>526</v>
      </c>
      <c r="G709" s="9" t="s">
        <v>2828</v>
      </c>
      <c r="H709" s="9" t="s">
        <v>25</v>
      </c>
      <c r="I709" s="9" t="s">
        <v>528</v>
      </c>
    </row>
    <row r="710" customFormat="false" ht="39" hidden="false" customHeight="true" outlineLevel="0" collapsed="false">
      <c r="A710" s="10" t="s">
        <v>2839</v>
      </c>
      <c r="B710" s="10" t="s">
        <v>2840</v>
      </c>
      <c r="C710" s="10" t="s">
        <v>2841</v>
      </c>
      <c r="D710" s="10" t="n">
        <v>2026</v>
      </c>
      <c r="E710" s="10" t="s">
        <v>2842</v>
      </c>
      <c r="F710" s="10" t="s">
        <v>2843</v>
      </c>
      <c r="G710" s="10" t="s">
        <v>2828</v>
      </c>
      <c r="H710" s="10" t="s">
        <v>25</v>
      </c>
      <c r="I710" s="10" t="s">
        <v>2844</v>
      </c>
    </row>
    <row r="711" customFormat="false" ht="39" hidden="false" customHeight="true" outlineLevel="0" collapsed="false">
      <c r="A711" s="9" t="s">
        <v>2845</v>
      </c>
      <c r="B711" s="9" t="s">
        <v>2846</v>
      </c>
      <c r="C711" s="9" t="s">
        <v>537</v>
      </c>
      <c r="D711" s="9" t="n">
        <v>2026</v>
      </c>
      <c r="E711" s="9" t="s">
        <v>2847</v>
      </c>
      <c r="F711" s="9" t="s">
        <v>539</v>
      </c>
      <c r="G711" s="9" t="s">
        <v>2828</v>
      </c>
      <c r="H711" s="9" t="s">
        <v>25</v>
      </c>
      <c r="I711" s="9" t="s">
        <v>540</v>
      </c>
    </row>
    <row r="712" customFormat="false" ht="25.5" hidden="false" customHeight="true" outlineLevel="0" collapsed="false">
      <c r="A712" s="10" t="s">
        <v>2848</v>
      </c>
      <c r="B712" s="10" t="s">
        <v>2849</v>
      </c>
      <c r="C712" s="10" t="s">
        <v>555</v>
      </c>
      <c r="D712" s="10" t="n">
        <v>2026</v>
      </c>
      <c r="E712" s="10" t="s">
        <v>2850</v>
      </c>
      <c r="F712" s="10" t="s">
        <v>556</v>
      </c>
      <c r="G712" s="10" t="s">
        <v>2828</v>
      </c>
      <c r="H712" s="10" t="s">
        <v>25</v>
      </c>
      <c r="I712" s="10" t="s">
        <v>557</v>
      </c>
    </row>
    <row r="713" customFormat="false" ht="25.5" hidden="false" customHeight="true" outlineLevel="0" collapsed="false">
      <c r="A713" s="9" t="s">
        <v>2851</v>
      </c>
      <c r="B713" s="9" t="s">
        <v>2852</v>
      </c>
      <c r="C713" s="9" t="s">
        <v>560</v>
      </c>
      <c r="D713" s="9" t="n">
        <v>2026</v>
      </c>
      <c r="E713" s="9" t="s">
        <v>2853</v>
      </c>
      <c r="F713" s="9"/>
      <c r="G713" s="9" t="s">
        <v>2828</v>
      </c>
      <c r="H713" s="9" t="s">
        <v>25</v>
      </c>
      <c r="I713" s="9" t="s">
        <v>562</v>
      </c>
    </row>
    <row r="714" customFormat="false" ht="39" hidden="false" customHeight="true" outlineLevel="0" collapsed="false">
      <c r="A714" s="10" t="s">
        <v>2854</v>
      </c>
      <c r="B714" s="10" t="s">
        <v>318</v>
      </c>
      <c r="C714" s="10" t="s">
        <v>317</v>
      </c>
      <c r="D714" s="10" t="n">
        <v>2026</v>
      </c>
      <c r="E714" s="10" t="s">
        <v>306</v>
      </c>
      <c r="F714" s="10" t="s">
        <v>319</v>
      </c>
      <c r="G714" s="10" t="s">
        <v>2828</v>
      </c>
      <c r="H714" s="10" t="s">
        <v>25</v>
      </c>
      <c r="I714" s="10" t="s">
        <v>2855</v>
      </c>
    </row>
    <row r="715" customFormat="false" ht="39" hidden="false" customHeight="true" outlineLevel="0" collapsed="false">
      <c r="A715" s="9" t="s">
        <v>2856</v>
      </c>
      <c r="B715" s="9" t="s">
        <v>2857</v>
      </c>
      <c r="C715" s="9" t="s">
        <v>585</v>
      </c>
      <c r="D715" s="9" t="n">
        <v>2026</v>
      </c>
      <c r="E715" s="9" t="s">
        <v>2858</v>
      </c>
      <c r="F715" s="9" t="s">
        <v>587</v>
      </c>
      <c r="G715" s="9" t="s">
        <v>2828</v>
      </c>
      <c r="H715" s="9" t="s">
        <v>25</v>
      </c>
      <c r="I715" s="9" t="s">
        <v>588</v>
      </c>
    </row>
    <row r="716" customFormat="false" ht="25.5" hidden="false" customHeight="true" outlineLevel="0" collapsed="false">
      <c r="A716" s="10" t="s">
        <v>2859</v>
      </c>
      <c r="B716" s="10" t="s">
        <v>2860</v>
      </c>
      <c r="C716" s="10" t="s">
        <v>608</v>
      </c>
      <c r="D716" s="10" t="n">
        <v>2026</v>
      </c>
      <c r="E716" s="10" t="s">
        <v>2853</v>
      </c>
      <c r="F716" s="10" t="s">
        <v>609</v>
      </c>
      <c r="G716" s="10" t="s">
        <v>2828</v>
      </c>
      <c r="H716" s="10" t="s">
        <v>25</v>
      </c>
      <c r="I716" s="10" t="s">
        <v>610</v>
      </c>
    </row>
    <row r="717" customFormat="false" ht="39" hidden="false" customHeight="true" outlineLevel="0" collapsed="false">
      <c r="A717" s="9" t="s">
        <v>2861</v>
      </c>
      <c r="B717" s="9" t="s">
        <v>2862</v>
      </c>
      <c r="C717" s="9" t="s">
        <v>2863</v>
      </c>
      <c r="D717" s="9" t="n">
        <v>2026</v>
      </c>
      <c r="E717" s="9" t="s">
        <v>2864</v>
      </c>
      <c r="F717" s="9" t="s">
        <v>2865</v>
      </c>
      <c r="G717" s="9" t="s">
        <v>2828</v>
      </c>
      <c r="H717" s="9" t="s">
        <v>25</v>
      </c>
      <c r="I717" s="9" t="s">
        <v>2866</v>
      </c>
    </row>
    <row r="718" customFormat="false" ht="39" hidden="false" customHeight="true" outlineLevel="0" collapsed="false">
      <c r="A718" s="10" t="s">
        <v>2867</v>
      </c>
      <c r="B718" s="10" t="s">
        <v>2868</v>
      </c>
      <c r="C718" s="10" t="s">
        <v>624</v>
      </c>
      <c r="D718" s="10" t="n">
        <v>2026</v>
      </c>
      <c r="E718" s="10" t="s">
        <v>2869</v>
      </c>
      <c r="F718" s="10" t="s">
        <v>625</v>
      </c>
      <c r="G718" s="10" t="s">
        <v>2828</v>
      </c>
      <c r="H718" s="10" t="s">
        <v>25</v>
      </c>
      <c r="I718" s="10" t="s">
        <v>626</v>
      </c>
    </row>
    <row r="719" customFormat="false" ht="39" hidden="false" customHeight="true" outlineLevel="0" collapsed="false">
      <c r="A719" s="9" t="s">
        <v>2870</v>
      </c>
      <c r="B719" s="9" t="s">
        <v>2871</v>
      </c>
      <c r="C719" s="9" t="s">
        <v>2872</v>
      </c>
      <c r="D719" s="9" t="n">
        <v>2026</v>
      </c>
      <c r="E719" s="9" t="s">
        <v>2826</v>
      </c>
      <c r="F719" s="9" t="s">
        <v>2873</v>
      </c>
      <c r="G719" s="9" t="s">
        <v>2828</v>
      </c>
      <c r="H719" s="9" t="s">
        <v>25</v>
      </c>
      <c r="I719" s="9" t="s">
        <v>2874</v>
      </c>
    </row>
    <row r="720" customFormat="false" ht="51.75" hidden="false" customHeight="true" outlineLevel="0" collapsed="false">
      <c r="A720" s="10" t="s">
        <v>2875</v>
      </c>
      <c r="B720" s="10" t="s">
        <v>2876</v>
      </c>
      <c r="C720" s="10" t="s">
        <v>2877</v>
      </c>
      <c r="D720" s="10" t="n">
        <v>2026</v>
      </c>
      <c r="E720" s="10" t="s">
        <v>2878</v>
      </c>
      <c r="F720" s="10" t="s">
        <v>637</v>
      </c>
      <c r="G720" s="10" t="s">
        <v>2828</v>
      </c>
      <c r="H720" s="10" t="s">
        <v>335</v>
      </c>
      <c r="I720" s="10" t="s">
        <v>2879</v>
      </c>
    </row>
    <row r="721" customFormat="false" ht="25.5" hidden="false" customHeight="true" outlineLevel="0" collapsed="false">
      <c r="A721" s="9" t="s">
        <v>2880</v>
      </c>
      <c r="B721" s="9" t="s">
        <v>2881</v>
      </c>
      <c r="C721" s="9" t="s">
        <v>649</v>
      </c>
      <c r="D721" s="9" t="n">
        <v>2026</v>
      </c>
      <c r="E721" s="9" t="s">
        <v>2882</v>
      </c>
      <c r="F721" s="9" t="s">
        <v>651</v>
      </c>
      <c r="G721" s="9" t="s">
        <v>2828</v>
      </c>
      <c r="H721" s="9" t="s">
        <v>25</v>
      </c>
      <c r="I721" s="9" t="s">
        <v>652</v>
      </c>
    </row>
    <row r="722" customFormat="false" ht="39" hidden="false" customHeight="true" outlineLevel="0" collapsed="false">
      <c r="A722" s="10" t="s">
        <v>2883</v>
      </c>
      <c r="B722" s="10" t="s">
        <v>2884</v>
      </c>
      <c r="C722" s="10" t="s">
        <v>2885</v>
      </c>
      <c r="D722" s="10" t="n">
        <v>2026</v>
      </c>
      <c r="E722" s="10" t="s">
        <v>188</v>
      </c>
      <c r="F722" s="10" t="s">
        <v>2886</v>
      </c>
      <c r="G722" s="10" t="s">
        <v>2828</v>
      </c>
      <c r="H722" s="10" t="s">
        <v>25</v>
      </c>
      <c r="I722" s="10" t="s">
        <v>2887</v>
      </c>
    </row>
    <row r="723" customFormat="false" ht="39" hidden="false" customHeight="true" outlineLevel="0" collapsed="false">
      <c r="A723" s="9" t="s">
        <v>2888</v>
      </c>
      <c r="B723" s="9" t="s">
        <v>2889</v>
      </c>
      <c r="C723" s="9" t="s">
        <v>655</v>
      </c>
      <c r="D723" s="9" t="n">
        <v>2026</v>
      </c>
      <c r="E723" s="9" t="s">
        <v>2890</v>
      </c>
      <c r="F723" s="9" t="s">
        <v>656</v>
      </c>
      <c r="G723" s="9" t="s">
        <v>2828</v>
      </c>
      <c r="H723" s="9" t="s">
        <v>25</v>
      </c>
      <c r="I723" s="9" t="s">
        <v>657</v>
      </c>
    </row>
    <row r="724" customFormat="false" ht="39" hidden="false" customHeight="true" outlineLevel="0" collapsed="false">
      <c r="A724" s="10" t="s">
        <v>2891</v>
      </c>
      <c r="B724" s="10" t="s">
        <v>2892</v>
      </c>
      <c r="C724" s="10" t="s">
        <v>659</v>
      </c>
      <c r="D724" s="10" t="n">
        <v>2026</v>
      </c>
      <c r="E724" s="10" t="s">
        <v>2890</v>
      </c>
      <c r="F724" s="10" t="s">
        <v>660</v>
      </c>
      <c r="G724" s="10" t="s">
        <v>2828</v>
      </c>
      <c r="H724" s="10" t="s">
        <v>25</v>
      </c>
      <c r="I724" s="10" t="s">
        <v>661</v>
      </c>
    </row>
    <row r="725" customFormat="false" ht="39" hidden="false" customHeight="true" outlineLevel="0" collapsed="false">
      <c r="A725" s="9" t="s">
        <v>2893</v>
      </c>
      <c r="B725" s="9" t="s">
        <v>2894</v>
      </c>
      <c r="C725" s="9" t="s">
        <v>664</v>
      </c>
      <c r="D725" s="9" t="n">
        <v>2026</v>
      </c>
      <c r="E725" s="9" t="s">
        <v>2895</v>
      </c>
      <c r="F725" s="9" t="s">
        <v>666</v>
      </c>
      <c r="G725" s="9" t="s">
        <v>2828</v>
      </c>
      <c r="H725" s="9" t="s">
        <v>25</v>
      </c>
      <c r="I725" s="9" t="s">
        <v>667</v>
      </c>
    </row>
    <row r="726" customFormat="false" ht="39" hidden="false" customHeight="true" outlineLevel="0" collapsed="false">
      <c r="A726" s="10" t="s">
        <v>2896</v>
      </c>
      <c r="B726" s="10" t="s">
        <v>2897</v>
      </c>
      <c r="C726" s="10" t="s">
        <v>2898</v>
      </c>
      <c r="D726" s="10" t="n">
        <v>2026</v>
      </c>
      <c r="E726" s="10" t="s">
        <v>2850</v>
      </c>
      <c r="F726" s="10" t="s">
        <v>677</v>
      </c>
      <c r="G726" s="10" t="s">
        <v>2828</v>
      </c>
      <c r="H726" s="10" t="s">
        <v>25</v>
      </c>
      <c r="I726" s="10" t="s">
        <v>2899</v>
      </c>
    </row>
    <row r="727" customFormat="false" ht="39" hidden="false" customHeight="true" outlineLevel="0" collapsed="false">
      <c r="A727" s="9" t="s">
        <v>2900</v>
      </c>
      <c r="B727" s="9" t="s">
        <v>2901</v>
      </c>
      <c r="C727" s="9" t="s">
        <v>687</v>
      </c>
      <c r="D727" s="9" t="n">
        <v>2026</v>
      </c>
      <c r="E727" s="9" t="s">
        <v>2847</v>
      </c>
      <c r="F727" s="9" t="s">
        <v>688</v>
      </c>
      <c r="G727" s="9" t="s">
        <v>2828</v>
      </c>
      <c r="H727" s="9" t="s">
        <v>25</v>
      </c>
      <c r="I727" s="9" t="s">
        <v>689</v>
      </c>
    </row>
    <row r="728" customFormat="false" ht="64.5" hidden="false" customHeight="true" outlineLevel="0" collapsed="false">
      <c r="A728" s="10" t="s">
        <v>2902</v>
      </c>
      <c r="B728" s="10" t="s">
        <v>2903</v>
      </c>
      <c r="C728" s="10" t="s">
        <v>2904</v>
      </c>
      <c r="D728" s="10" t="n">
        <v>2026</v>
      </c>
      <c r="E728" s="10" t="s">
        <v>2905</v>
      </c>
      <c r="F728" s="10" t="s">
        <v>694</v>
      </c>
      <c r="G728" s="10" t="s">
        <v>2828</v>
      </c>
      <c r="H728" s="10" t="s">
        <v>25</v>
      </c>
      <c r="I728" s="10" t="s">
        <v>2906</v>
      </c>
    </row>
    <row r="729" customFormat="false" ht="39" hidden="false" customHeight="true" outlineLevel="0" collapsed="false">
      <c r="A729" s="9" t="s">
        <v>2907</v>
      </c>
      <c r="B729" s="9" t="s">
        <v>2908</v>
      </c>
      <c r="C729" s="9" t="s">
        <v>698</v>
      </c>
      <c r="D729" s="9" t="n">
        <v>2026</v>
      </c>
      <c r="E729" s="9" t="s">
        <v>2909</v>
      </c>
      <c r="F729" s="9" t="s">
        <v>700</v>
      </c>
      <c r="G729" s="9" t="s">
        <v>2828</v>
      </c>
      <c r="H729" s="9" t="s">
        <v>25</v>
      </c>
      <c r="I729" s="9" t="s">
        <v>701</v>
      </c>
    </row>
    <row r="730" customFormat="false" ht="39" hidden="false" customHeight="true" outlineLevel="0" collapsed="false">
      <c r="A730" s="10" t="s">
        <v>2910</v>
      </c>
      <c r="B730" s="10" t="s">
        <v>2911</v>
      </c>
      <c r="C730" s="10" t="s">
        <v>710</v>
      </c>
      <c r="D730" s="10" t="n">
        <v>2026</v>
      </c>
      <c r="E730" s="10" t="s">
        <v>2912</v>
      </c>
      <c r="F730" s="10" t="s">
        <v>712</v>
      </c>
      <c r="G730" s="10" t="s">
        <v>2828</v>
      </c>
      <c r="H730" s="10" t="s">
        <v>25</v>
      </c>
      <c r="I730" s="10" t="s">
        <v>713</v>
      </c>
    </row>
    <row r="731" customFormat="false" ht="39" hidden="false" customHeight="true" outlineLevel="0" collapsed="false">
      <c r="A731" s="9" t="s">
        <v>2913</v>
      </c>
      <c r="B731" s="9" t="s">
        <v>187</v>
      </c>
      <c r="C731" s="9" t="s">
        <v>186</v>
      </c>
      <c r="D731" s="9" t="n">
        <v>2026</v>
      </c>
      <c r="E731" s="9" t="s">
        <v>188</v>
      </c>
      <c r="F731" s="9" t="s">
        <v>189</v>
      </c>
      <c r="G731" s="9" t="s">
        <v>2828</v>
      </c>
      <c r="H731" s="9" t="s">
        <v>25</v>
      </c>
      <c r="I731" s="9" t="s">
        <v>2914</v>
      </c>
    </row>
    <row r="732" customFormat="false" ht="25.5" hidden="false" customHeight="true" outlineLevel="0" collapsed="false">
      <c r="A732" s="10" t="s">
        <v>2915</v>
      </c>
      <c r="B732" s="10" t="s">
        <v>2916</v>
      </c>
      <c r="C732" s="10" t="s">
        <v>716</v>
      </c>
      <c r="D732" s="10" t="n">
        <v>2026</v>
      </c>
      <c r="E732" s="10" t="s">
        <v>2917</v>
      </c>
      <c r="F732" s="10" t="s">
        <v>718</v>
      </c>
      <c r="G732" s="10" t="s">
        <v>2828</v>
      </c>
      <c r="H732" s="10" t="s">
        <v>25</v>
      </c>
      <c r="I732" s="10" t="s">
        <v>719</v>
      </c>
    </row>
    <row r="733" customFormat="false" ht="25.5" hidden="false" customHeight="true" outlineLevel="0" collapsed="false">
      <c r="A733" s="9" t="s">
        <v>2918</v>
      </c>
      <c r="B733" s="9" t="s">
        <v>2901</v>
      </c>
      <c r="C733" s="9" t="s">
        <v>721</v>
      </c>
      <c r="D733" s="9" t="n">
        <v>2026</v>
      </c>
      <c r="E733" s="9" t="s">
        <v>2919</v>
      </c>
      <c r="F733" s="9" t="s">
        <v>723</v>
      </c>
      <c r="G733" s="9" t="s">
        <v>2828</v>
      </c>
      <c r="H733" s="9" t="s">
        <v>335</v>
      </c>
      <c r="I733" s="9" t="s">
        <v>724</v>
      </c>
    </row>
    <row r="734" customFormat="false" ht="39" hidden="false" customHeight="true" outlineLevel="0" collapsed="false">
      <c r="A734" s="10" t="s">
        <v>2920</v>
      </c>
      <c r="B734" s="10" t="s">
        <v>2921</v>
      </c>
      <c r="C734" s="10" t="s">
        <v>732</v>
      </c>
      <c r="D734" s="10" t="n">
        <v>2026</v>
      </c>
      <c r="E734" s="10" t="s">
        <v>2847</v>
      </c>
      <c r="F734" s="10" t="s">
        <v>733</v>
      </c>
      <c r="G734" s="10" t="s">
        <v>2828</v>
      </c>
      <c r="H734" s="10" t="s">
        <v>25</v>
      </c>
      <c r="I734" s="10" t="s">
        <v>734</v>
      </c>
    </row>
    <row r="735" customFormat="false" ht="39" hidden="false" customHeight="true" outlineLevel="0" collapsed="false">
      <c r="A735" s="9" t="s">
        <v>2922</v>
      </c>
      <c r="B735" s="9" t="s">
        <v>2923</v>
      </c>
      <c r="C735" s="9" t="s">
        <v>56</v>
      </c>
      <c r="D735" s="9" t="n">
        <v>2025</v>
      </c>
      <c r="E735" s="9" t="s">
        <v>70</v>
      </c>
      <c r="F735" s="9" t="s">
        <v>59</v>
      </c>
      <c r="G735" s="9" t="s">
        <v>2828</v>
      </c>
      <c r="H735" s="9" t="s">
        <v>25</v>
      </c>
      <c r="I735" s="9" t="s">
        <v>762</v>
      </c>
    </row>
    <row r="736" customFormat="false" ht="39" hidden="false" customHeight="true" outlineLevel="0" collapsed="false">
      <c r="A736" s="10" t="s">
        <v>2924</v>
      </c>
      <c r="B736" s="10" t="s">
        <v>2925</v>
      </c>
      <c r="C736" s="10" t="s">
        <v>773</v>
      </c>
      <c r="D736" s="10" t="n">
        <v>2025</v>
      </c>
      <c r="E736" s="10" t="s">
        <v>2926</v>
      </c>
      <c r="F736" s="10" t="s">
        <v>775</v>
      </c>
      <c r="G736" s="10" t="s">
        <v>2828</v>
      </c>
      <c r="H736" s="10" t="s">
        <v>25</v>
      </c>
      <c r="I736" s="10" t="s">
        <v>776</v>
      </c>
    </row>
    <row r="737" customFormat="false" ht="39" hidden="false" customHeight="true" outlineLevel="0" collapsed="false">
      <c r="A737" s="9" t="s">
        <v>2927</v>
      </c>
      <c r="B737" s="9" t="s">
        <v>211</v>
      </c>
      <c r="C737" s="9" t="s">
        <v>210</v>
      </c>
      <c r="D737" s="9" t="n">
        <v>2025</v>
      </c>
      <c r="E737" s="9" t="s">
        <v>159</v>
      </c>
      <c r="F737" s="9" t="s">
        <v>212</v>
      </c>
      <c r="G737" s="9" t="s">
        <v>2828</v>
      </c>
      <c r="H737" s="9" t="s">
        <v>25</v>
      </c>
      <c r="I737" s="9" t="s">
        <v>779</v>
      </c>
    </row>
    <row r="738" customFormat="false" ht="25.5" hidden="false" customHeight="true" outlineLevel="0" collapsed="false">
      <c r="A738" s="10" t="s">
        <v>2928</v>
      </c>
      <c r="B738" s="10" t="s">
        <v>2929</v>
      </c>
      <c r="C738" s="10" t="s">
        <v>785</v>
      </c>
      <c r="D738" s="10" t="n">
        <v>2025</v>
      </c>
      <c r="E738" s="10" t="s">
        <v>2930</v>
      </c>
      <c r="F738" s="10" t="s">
        <v>787</v>
      </c>
      <c r="G738" s="10" t="s">
        <v>2828</v>
      </c>
      <c r="H738" s="10" t="s">
        <v>25</v>
      </c>
      <c r="I738" s="10" t="s">
        <v>788</v>
      </c>
    </row>
    <row r="739" customFormat="false" ht="39" hidden="false" customHeight="true" outlineLevel="0" collapsed="false">
      <c r="A739" s="9" t="s">
        <v>2931</v>
      </c>
      <c r="B739" s="9" t="s">
        <v>2932</v>
      </c>
      <c r="C739" s="9" t="s">
        <v>2933</v>
      </c>
      <c r="D739" s="9" t="n">
        <v>2025</v>
      </c>
      <c r="E739" s="9" t="s">
        <v>2934</v>
      </c>
      <c r="F739" s="9" t="s">
        <v>2935</v>
      </c>
      <c r="G739" s="9" t="s">
        <v>2828</v>
      </c>
      <c r="H739" s="9" t="s">
        <v>514</v>
      </c>
      <c r="I739" s="9" t="s">
        <v>2936</v>
      </c>
    </row>
    <row r="740" customFormat="false" ht="39" hidden="false" customHeight="true" outlineLevel="0" collapsed="false">
      <c r="A740" s="10" t="s">
        <v>2937</v>
      </c>
      <c r="B740" s="10" t="s">
        <v>2938</v>
      </c>
      <c r="C740" s="10" t="s">
        <v>190</v>
      </c>
      <c r="D740" s="10" t="n">
        <v>2025</v>
      </c>
      <c r="E740" s="10" t="s">
        <v>2939</v>
      </c>
      <c r="F740" s="10" t="s">
        <v>193</v>
      </c>
      <c r="G740" s="10" t="s">
        <v>2828</v>
      </c>
      <c r="H740" s="10" t="s">
        <v>25</v>
      </c>
      <c r="I740" s="10" t="s">
        <v>816</v>
      </c>
    </row>
    <row r="741" customFormat="false" ht="39" hidden="false" customHeight="true" outlineLevel="0" collapsed="false">
      <c r="A741" s="9" t="s">
        <v>2940</v>
      </c>
      <c r="B741" s="9" t="s">
        <v>2941</v>
      </c>
      <c r="C741" s="9" t="s">
        <v>859</v>
      </c>
      <c r="D741" s="9" t="n">
        <v>2025</v>
      </c>
      <c r="E741" s="9" t="s">
        <v>2942</v>
      </c>
      <c r="F741" s="9" t="s">
        <v>860</v>
      </c>
      <c r="G741" s="9" t="s">
        <v>2828</v>
      </c>
      <c r="H741" s="9" t="s">
        <v>25</v>
      </c>
      <c r="I741" s="9" t="s">
        <v>861</v>
      </c>
    </row>
    <row r="742" customFormat="false" ht="39" hidden="false" customHeight="true" outlineLevel="0" collapsed="false">
      <c r="A742" s="10" t="s">
        <v>2943</v>
      </c>
      <c r="B742" s="10" t="s">
        <v>2944</v>
      </c>
      <c r="C742" s="10" t="s">
        <v>864</v>
      </c>
      <c r="D742" s="10" t="n">
        <v>2025</v>
      </c>
      <c r="E742" s="10" t="s">
        <v>2945</v>
      </c>
      <c r="F742" s="10" t="s">
        <v>866</v>
      </c>
      <c r="G742" s="10" t="s">
        <v>2828</v>
      </c>
      <c r="H742" s="10" t="s">
        <v>25</v>
      </c>
      <c r="I742" s="10" t="s">
        <v>867</v>
      </c>
    </row>
    <row r="743" customFormat="false" ht="64.5" hidden="false" customHeight="true" outlineLevel="0" collapsed="false">
      <c r="A743" s="9" t="s">
        <v>2946</v>
      </c>
      <c r="B743" s="9" t="s">
        <v>2947</v>
      </c>
      <c r="C743" s="9" t="s">
        <v>2948</v>
      </c>
      <c r="D743" s="9" t="n">
        <v>2025</v>
      </c>
      <c r="E743" s="9" t="s">
        <v>2853</v>
      </c>
      <c r="F743" s="9" t="s">
        <v>2949</v>
      </c>
      <c r="G743" s="9" t="s">
        <v>2828</v>
      </c>
      <c r="H743" s="9" t="s">
        <v>25</v>
      </c>
      <c r="I743" s="9" t="s">
        <v>2950</v>
      </c>
    </row>
    <row r="744" customFormat="false" ht="25.5" hidden="false" customHeight="true" outlineLevel="0" collapsed="false">
      <c r="A744" s="10" t="s">
        <v>2951</v>
      </c>
      <c r="B744" s="10" t="s">
        <v>2952</v>
      </c>
      <c r="C744" s="10" t="s">
        <v>2953</v>
      </c>
      <c r="D744" s="10" t="n">
        <v>2025</v>
      </c>
      <c r="E744" s="10" t="s">
        <v>2826</v>
      </c>
      <c r="F744" s="10" t="s">
        <v>2954</v>
      </c>
      <c r="G744" s="10" t="s">
        <v>2828</v>
      </c>
      <c r="H744" s="10" t="s">
        <v>25</v>
      </c>
      <c r="I744" s="10" t="s">
        <v>2955</v>
      </c>
    </row>
    <row r="745" customFormat="false" ht="25.5" hidden="false" customHeight="true" outlineLevel="0" collapsed="false">
      <c r="A745" s="9" t="s">
        <v>2956</v>
      </c>
      <c r="B745" s="9" t="s">
        <v>2957</v>
      </c>
      <c r="C745" s="9" t="s">
        <v>2958</v>
      </c>
      <c r="D745" s="9" t="n">
        <v>2025</v>
      </c>
      <c r="E745" s="9" t="s">
        <v>2959</v>
      </c>
      <c r="F745" s="9" t="s">
        <v>903</v>
      </c>
      <c r="G745" s="9" t="s">
        <v>2828</v>
      </c>
      <c r="H745" s="9" t="s">
        <v>25</v>
      </c>
      <c r="I745" s="9" t="s">
        <v>904</v>
      </c>
    </row>
    <row r="746" customFormat="false" ht="39" hidden="false" customHeight="true" outlineLevel="0" collapsed="false">
      <c r="A746" s="10" t="s">
        <v>2960</v>
      </c>
      <c r="B746" s="10" t="s">
        <v>2961</v>
      </c>
      <c r="C746" s="10" t="s">
        <v>2962</v>
      </c>
      <c r="D746" s="10" t="n">
        <v>2025</v>
      </c>
      <c r="E746" s="10" t="s">
        <v>2826</v>
      </c>
      <c r="F746" s="10" t="s">
        <v>2963</v>
      </c>
      <c r="G746" s="10" t="s">
        <v>2828</v>
      </c>
      <c r="H746" s="10" t="s">
        <v>25</v>
      </c>
      <c r="I746" s="10" t="s">
        <v>2964</v>
      </c>
    </row>
    <row r="747" customFormat="false" ht="25.5" hidden="false" customHeight="true" outlineLevel="0" collapsed="false">
      <c r="A747" s="9" t="s">
        <v>2965</v>
      </c>
      <c r="B747" s="9" t="s">
        <v>2966</v>
      </c>
      <c r="C747" s="9" t="s">
        <v>2967</v>
      </c>
      <c r="D747" s="9" t="n">
        <v>2025</v>
      </c>
      <c r="E747" s="9" t="s">
        <v>2869</v>
      </c>
      <c r="F747" s="9" t="s">
        <v>2968</v>
      </c>
      <c r="G747" s="9" t="s">
        <v>2828</v>
      </c>
      <c r="H747" s="9" t="s">
        <v>25</v>
      </c>
      <c r="I747" s="9" t="s">
        <v>2969</v>
      </c>
    </row>
    <row r="748" customFormat="false" ht="39" hidden="false" customHeight="true" outlineLevel="0" collapsed="false">
      <c r="A748" s="10" t="s">
        <v>2970</v>
      </c>
      <c r="B748" s="10" t="s">
        <v>2971</v>
      </c>
      <c r="C748" s="10" t="s">
        <v>2972</v>
      </c>
      <c r="D748" s="10" t="n">
        <v>2024</v>
      </c>
      <c r="E748" s="10" t="s">
        <v>2973</v>
      </c>
      <c r="F748" s="10" t="s">
        <v>926</v>
      </c>
      <c r="G748" s="10" t="s">
        <v>2828</v>
      </c>
      <c r="H748" s="10" t="s">
        <v>25</v>
      </c>
      <c r="I748" s="10" t="s">
        <v>927</v>
      </c>
    </row>
    <row r="749" customFormat="false" ht="25.5" hidden="false" customHeight="true" outlineLevel="0" collapsed="false">
      <c r="A749" s="9" t="s">
        <v>2974</v>
      </c>
      <c r="B749" s="9" t="s">
        <v>2975</v>
      </c>
      <c r="C749" s="9" t="s">
        <v>942</v>
      </c>
      <c r="D749" s="9" t="n">
        <v>2024</v>
      </c>
      <c r="E749" s="9" t="s">
        <v>2976</v>
      </c>
      <c r="F749" s="9" t="s">
        <v>944</v>
      </c>
      <c r="G749" s="9" t="s">
        <v>2828</v>
      </c>
      <c r="H749" s="9" t="s">
        <v>25</v>
      </c>
      <c r="I749" s="9" t="s">
        <v>945</v>
      </c>
    </row>
    <row r="750" customFormat="false" ht="25.5" hidden="false" customHeight="true" outlineLevel="0" collapsed="false">
      <c r="A750" s="10" t="s">
        <v>2977</v>
      </c>
      <c r="B750" s="10" t="s">
        <v>2978</v>
      </c>
      <c r="C750" s="10" t="s">
        <v>2979</v>
      </c>
      <c r="D750" s="10" t="n">
        <v>2024</v>
      </c>
      <c r="E750" s="10" t="s">
        <v>23</v>
      </c>
      <c r="F750" s="10" t="s">
        <v>2980</v>
      </c>
      <c r="G750" s="10" t="s">
        <v>2828</v>
      </c>
      <c r="H750" s="10" t="s">
        <v>514</v>
      </c>
      <c r="I750" s="10" t="s">
        <v>2981</v>
      </c>
    </row>
    <row r="751" customFormat="false" ht="25.5" hidden="false" customHeight="true" outlineLevel="0" collapsed="false">
      <c r="A751" s="9" t="s">
        <v>2982</v>
      </c>
      <c r="B751" s="9" t="s">
        <v>2983</v>
      </c>
      <c r="C751" s="9" t="s">
        <v>979</v>
      </c>
      <c r="D751" s="9" t="n">
        <v>2024</v>
      </c>
      <c r="E751" s="9" t="s">
        <v>2984</v>
      </c>
      <c r="F751" s="9" t="s">
        <v>981</v>
      </c>
      <c r="G751" s="9" t="s">
        <v>2828</v>
      </c>
      <c r="H751" s="9" t="s">
        <v>335</v>
      </c>
      <c r="I751" s="9" t="s">
        <v>982</v>
      </c>
    </row>
    <row r="752" customFormat="false" ht="39" hidden="false" customHeight="true" outlineLevel="0" collapsed="false">
      <c r="A752" s="10" t="s">
        <v>2985</v>
      </c>
      <c r="B752" s="10" t="s">
        <v>2986</v>
      </c>
      <c r="C752" s="10" t="s">
        <v>985</v>
      </c>
      <c r="D752" s="10" t="n">
        <v>2024</v>
      </c>
      <c r="E752" s="10" t="s">
        <v>2987</v>
      </c>
      <c r="F752" s="10" t="s">
        <v>987</v>
      </c>
      <c r="G752" s="10" t="s">
        <v>2828</v>
      </c>
      <c r="H752" s="10" t="s">
        <v>335</v>
      </c>
      <c r="I752" s="10" t="s">
        <v>988</v>
      </c>
    </row>
    <row r="753" customFormat="false" ht="25.5" hidden="false" customHeight="true" outlineLevel="0" collapsed="false">
      <c r="A753" s="9" t="s">
        <v>2988</v>
      </c>
      <c r="B753" s="9" t="s">
        <v>2989</v>
      </c>
      <c r="C753" s="9" t="s">
        <v>2990</v>
      </c>
      <c r="D753" s="9" t="n">
        <v>2024</v>
      </c>
      <c r="E753" s="9" t="s">
        <v>23</v>
      </c>
      <c r="F753" s="9" t="s">
        <v>2991</v>
      </c>
      <c r="G753" s="9" t="s">
        <v>2828</v>
      </c>
      <c r="H753" s="9" t="s">
        <v>335</v>
      </c>
      <c r="I753" s="9" t="s">
        <v>2992</v>
      </c>
    </row>
    <row r="754" customFormat="false" ht="78" hidden="false" customHeight="true" outlineLevel="0" collapsed="false">
      <c r="A754" s="10" t="s">
        <v>2993</v>
      </c>
      <c r="B754" s="10" t="s">
        <v>2994</v>
      </c>
      <c r="C754" s="10" t="s">
        <v>2995</v>
      </c>
      <c r="D754" s="10" t="n">
        <v>2024</v>
      </c>
      <c r="E754" s="10" t="s">
        <v>2996</v>
      </c>
      <c r="F754" s="10" t="s">
        <v>2997</v>
      </c>
      <c r="G754" s="10" t="s">
        <v>2828</v>
      </c>
      <c r="H754" s="10" t="s">
        <v>25</v>
      </c>
      <c r="I754" s="10" t="s">
        <v>2998</v>
      </c>
    </row>
    <row r="755" customFormat="false" ht="64.5" hidden="false" customHeight="true" outlineLevel="0" collapsed="false">
      <c r="A755" s="9" t="s">
        <v>2999</v>
      </c>
      <c r="B755" s="9" t="s">
        <v>3000</v>
      </c>
      <c r="C755" s="9" t="s">
        <v>1005</v>
      </c>
      <c r="D755" s="9" t="n">
        <v>2024</v>
      </c>
      <c r="E755" s="9" t="s">
        <v>2912</v>
      </c>
      <c r="F755" s="9" t="s">
        <v>1006</v>
      </c>
      <c r="G755" s="9" t="s">
        <v>2828</v>
      </c>
      <c r="H755" s="9" t="s">
        <v>25</v>
      </c>
      <c r="I755" s="9" t="s">
        <v>1007</v>
      </c>
    </row>
    <row r="756" customFormat="false" ht="25.5" hidden="false" customHeight="true" outlineLevel="0" collapsed="false">
      <c r="A756" s="10" t="s">
        <v>3001</v>
      </c>
      <c r="B756" s="10" t="s">
        <v>3002</v>
      </c>
      <c r="C756" s="10" t="s">
        <v>1052</v>
      </c>
      <c r="D756" s="10" t="n">
        <v>2024</v>
      </c>
      <c r="E756" s="10" t="s">
        <v>2942</v>
      </c>
      <c r="F756" s="10" t="s">
        <v>1053</v>
      </c>
      <c r="G756" s="10" t="s">
        <v>2828</v>
      </c>
      <c r="H756" s="10" t="s">
        <v>25</v>
      </c>
      <c r="I756" s="10" t="s">
        <v>1054</v>
      </c>
    </row>
    <row r="757" customFormat="false" ht="25.5" hidden="false" customHeight="true" outlineLevel="0" collapsed="false">
      <c r="A757" s="9" t="s">
        <v>3003</v>
      </c>
      <c r="B757" s="9" t="s">
        <v>3004</v>
      </c>
      <c r="C757" s="9" t="s">
        <v>1085</v>
      </c>
      <c r="D757" s="9" t="n">
        <v>2024</v>
      </c>
      <c r="E757" s="9" t="s">
        <v>3005</v>
      </c>
      <c r="F757" s="9" t="s">
        <v>1087</v>
      </c>
      <c r="G757" s="9" t="s">
        <v>2828</v>
      </c>
      <c r="H757" s="9" t="s">
        <v>335</v>
      </c>
      <c r="I757" s="9" t="s">
        <v>1088</v>
      </c>
    </row>
    <row r="758" customFormat="false" ht="39" hidden="false" customHeight="true" outlineLevel="0" collapsed="false">
      <c r="A758" s="10" t="s">
        <v>3006</v>
      </c>
      <c r="B758" s="10" t="s">
        <v>3007</v>
      </c>
      <c r="C758" s="10" t="s">
        <v>3008</v>
      </c>
      <c r="D758" s="10" t="n">
        <v>2024</v>
      </c>
      <c r="E758" s="10" t="s">
        <v>2847</v>
      </c>
      <c r="F758" s="10" t="s">
        <v>3009</v>
      </c>
      <c r="G758" s="10" t="s">
        <v>2828</v>
      </c>
      <c r="H758" s="10" t="s">
        <v>335</v>
      </c>
      <c r="I758" s="10" t="s">
        <v>3010</v>
      </c>
    </row>
    <row r="759" customFormat="false" ht="39" hidden="false" customHeight="true" outlineLevel="0" collapsed="false">
      <c r="A759" s="9" t="s">
        <v>3011</v>
      </c>
      <c r="B759" s="9" t="s">
        <v>2929</v>
      </c>
      <c r="C759" s="9" t="s">
        <v>194</v>
      </c>
      <c r="D759" s="9" t="n">
        <v>2024</v>
      </c>
      <c r="E759" s="9" t="s">
        <v>284</v>
      </c>
      <c r="F759" s="9" t="s">
        <v>196</v>
      </c>
      <c r="G759" s="9" t="s">
        <v>2828</v>
      </c>
      <c r="H759" s="9" t="s">
        <v>25</v>
      </c>
      <c r="I759" s="9" t="s">
        <v>1095</v>
      </c>
    </row>
    <row r="760" customFormat="false" ht="51.75" hidden="false" customHeight="true" outlineLevel="0" collapsed="false">
      <c r="A760" s="10" t="s">
        <v>3012</v>
      </c>
      <c r="B760" s="10" t="s">
        <v>3013</v>
      </c>
      <c r="C760" s="10" t="s">
        <v>3014</v>
      </c>
      <c r="D760" s="10" t="n">
        <v>2024</v>
      </c>
      <c r="E760" s="10" t="s">
        <v>3015</v>
      </c>
      <c r="F760" s="10" t="s">
        <v>3016</v>
      </c>
      <c r="G760" s="10" t="s">
        <v>2828</v>
      </c>
      <c r="H760" s="10" t="s">
        <v>514</v>
      </c>
      <c r="I760" s="10" t="s">
        <v>3017</v>
      </c>
    </row>
    <row r="761" customFormat="false" ht="51.75" hidden="false" customHeight="true" outlineLevel="0" collapsed="false">
      <c r="A761" s="9" t="s">
        <v>3018</v>
      </c>
      <c r="B761" s="9" t="s">
        <v>3019</v>
      </c>
      <c r="C761" s="9" t="s">
        <v>3020</v>
      </c>
      <c r="D761" s="9" t="n">
        <v>2024</v>
      </c>
      <c r="E761" s="9" t="s">
        <v>284</v>
      </c>
      <c r="F761" s="9" t="s">
        <v>3021</v>
      </c>
      <c r="G761" s="9" t="s">
        <v>2828</v>
      </c>
      <c r="H761" s="9" t="s">
        <v>25</v>
      </c>
      <c r="I761" s="9" t="s">
        <v>3022</v>
      </c>
    </row>
    <row r="762" customFormat="false" ht="39" hidden="false" customHeight="true" outlineLevel="0" collapsed="false">
      <c r="A762" s="10" t="s">
        <v>3023</v>
      </c>
      <c r="B762" s="10" t="s">
        <v>3024</v>
      </c>
      <c r="C762" s="10" t="s">
        <v>1147</v>
      </c>
      <c r="D762" s="10" t="n">
        <v>2024</v>
      </c>
      <c r="E762" s="10" t="s">
        <v>2912</v>
      </c>
      <c r="F762" s="10" t="s">
        <v>1148</v>
      </c>
      <c r="G762" s="10" t="s">
        <v>2828</v>
      </c>
      <c r="H762" s="10" t="s">
        <v>25</v>
      </c>
      <c r="I762" s="10" t="s">
        <v>1149</v>
      </c>
    </row>
    <row r="763" customFormat="false" ht="39" hidden="false" customHeight="true" outlineLevel="0" collapsed="false">
      <c r="A763" s="9" t="s">
        <v>3025</v>
      </c>
      <c r="B763" s="9" t="s">
        <v>3026</v>
      </c>
      <c r="C763" s="9" t="s">
        <v>1152</v>
      </c>
      <c r="D763" s="9" t="n">
        <v>2024</v>
      </c>
      <c r="E763" s="9" t="s">
        <v>2917</v>
      </c>
      <c r="F763" s="9" t="s">
        <v>1153</v>
      </c>
      <c r="G763" s="9" t="s">
        <v>2828</v>
      </c>
      <c r="H763" s="9" t="s">
        <v>25</v>
      </c>
      <c r="I763" s="9" t="s">
        <v>1154</v>
      </c>
    </row>
    <row r="764" customFormat="false" ht="51.75" hidden="false" customHeight="true" outlineLevel="0" collapsed="false">
      <c r="A764" s="10" t="s">
        <v>3027</v>
      </c>
      <c r="B764" s="10" t="s">
        <v>69</v>
      </c>
      <c r="C764" s="10" t="s">
        <v>68</v>
      </c>
      <c r="D764" s="10" t="n">
        <v>2024</v>
      </c>
      <c r="E764" s="10" t="s">
        <v>70</v>
      </c>
      <c r="F764" s="10" t="s">
        <v>71</v>
      </c>
      <c r="G764" s="10" t="s">
        <v>2828</v>
      </c>
      <c r="H764" s="10" t="s">
        <v>25</v>
      </c>
      <c r="I764" s="10" t="s">
        <v>3028</v>
      </c>
    </row>
    <row r="765" customFormat="false" ht="39" hidden="false" customHeight="true" outlineLevel="0" collapsed="false">
      <c r="A765" s="9" t="s">
        <v>3029</v>
      </c>
      <c r="B765" s="9" t="s">
        <v>3030</v>
      </c>
      <c r="C765" s="9" t="s">
        <v>1175</v>
      </c>
      <c r="D765" s="9" t="n">
        <v>2024</v>
      </c>
      <c r="E765" s="9" t="s">
        <v>2917</v>
      </c>
      <c r="F765" s="9" t="s">
        <v>1176</v>
      </c>
      <c r="G765" s="9" t="s">
        <v>2828</v>
      </c>
      <c r="H765" s="9" t="s">
        <v>25</v>
      </c>
      <c r="I765" s="9" t="s">
        <v>1177</v>
      </c>
    </row>
    <row r="766" customFormat="false" ht="25.5" hidden="false" customHeight="true" outlineLevel="0" collapsed="false">
      <c r="A766" s="10" t="s">
        <v>3031</v>
      </c>
      <c r="B766" s="10" t="s">
        <v>3032</v>
      </c>
      <c r="C766" s="10" t="s">
        <v>359</v>
      </c>
      <c r="D766" s="10" t="n">
        <v>2024</v>
      </c>
      <c r="E766" s="10" t="s">
        <v>2869</v>
      </c>
      <c r="F766" s="10" t="s">
        <v>361</v>
      </c>
      <c r="G766" s="10" t="s">
        <v>2828</v>
      </c>
      <c r="H766" s="10" t="s">
        <v>25</v>
      </c>
      <c r="I766" s="10" t="s">
        <v>1185</v>
      </c>
    </row>
    <row r="767" customFormat="false" ht="64.5" hidden="false" customHeight="true" outlineLevel="0" collapsed="false">
      <c r="A767" s="9" t="s">
        <v>3033</v>
      </c>
      <c r="B767" s="9" t="s">
        <v>3034</v>
      </c>
      <c r="C767" s="9" t="s">
        <v>1204</v>
      </c>
      <c r="D767" s="9" t="n">
        <v>2023</v>
      </c>
      <c r="E767" s="9" t="s">
        <v>2869</v>
      </c>
      <c r="F767" s="9" t="s">
        <v>1205</v>
      </c>
      <c r="G767" s="9" t="s">
        <v>2828</v>
      </c>
      <c r="H767" s="9" t="s">
        <v>25</v>
      </c>
      <c r="I767" s="9" t="s">
        <v>1206</v>
      </c>
    </row>
    <row r="768" customFormat="false" ht="39" hidden="false" customHeight="true" outlineLevel="0" collapsed="false">
      <c r="A768" s="10" t="s">
        <v>3035</v>
      </c>
      <c r="B768" s="10" t="s">
        <v>3036</v>
      </c>
      <c r="C768" s="10" t="s">
        <v>1233</v>
      </c>
      <c r="D768" s="10" t="n">
        <v>2023</v>
      </c>
      <c r="E768" s="10" t="s">
        <v>3037</v>
      </c>
      <c r="F768" s="10" t="s">
        <v>1235</v>
      </c>
      <c r="G768" s="10" t="s">
        <v>2828</v>
      </c>
      <c r="H768" s="10" t="s">
        <v>25</v>
      </c>
      <c r="I768" s="10" t="s">
        <v>1236</v>
      </c>
    </row>
    <row r="769" customFormat="false" ht="25.5" hidden="false" customHeight="true" outlineLevel="0" collapsed="false">
      <c r="A769" s="9" t="s">
        <v>3038</v>
      </c>
      <c r="B769" s="9" t="s">
        <v>90</v>
      </c>
      <c r="C769" s="9" t="s">
        <v>89</v>
      </c>
      <c r="D769" s="9" t="n">
        <v>2023</v>
      </c>
      <c r="E769" s="9" t="s">
        <v>91</v>
      </c>
      <c r="F769" s="9" t="s">
        <v>92</v>
      </c>
      <c r="G769" s="9" t="s">
        <v>2828</v>
      </c>
      <c r="H769" s="9" t="s">
        <v>25</v>
      </c>
      <c r="I769" s="9" t="s">
        <v>1257</v>
      </c>
    </row>
    <row r="770" customFormat="false" ht="39" hidden="false" customHeight="true" outlineLevel="0" collapsed="false">
      <c r="A770" s="10" t="s">
        <v>3039</v>
      </c>
      <c r="B770" s="10" t="s">
        <v>3040</v>
      </c>
      <c r="C770" s="10" t="s">
        <v>1265</v>
      </c>
      <c r="D770" s="10" t="n">
        <v>2023</v>
      </c>
      <c r="E770" s="10" t="s">
        <v>2864</v>
      </c>
      <c r="F770" s="10" t="s">
        <v>1267</v>
      </c>
      <c r="G770" s="10" t="s">
        <v>2828</v>
      </c>
      <c r="H770" s="10" t="s">
        <v>25</v>
      </c>
      <c r="I770" s="10" t="s">
        <v>1268</v>
      </c>
    </row>
    <row r="771" customFormat="false" ht="39" hidden="false" customHeight="true" outlineLevel="0" collapsed="false">
      <c r="A771" s="9" t="s">
        <v>3041</v>
      </c>
      <c r="B771" s="9" t="s">
        <v>3042</v>
      </c>
      <c r="C771" s="9" t="s">
        <v>1271</v>
      </c>
      <c r="D771" s="9" t="n">
        <v>2023</v>
      </c>
      <c r="E771" s="9" t="s">
        <v>3043</v>
      </c>
      <c r="F771" s="9" t="s">
        <v>1273</v>
      </c>
      <c r="G771" s="9" t="s">
        <v>2828</v>
      </c>
      <c r="H771" s="9" t="s">
        <v>335</v>
      </c>
      <c r="I771" s="9" t="s">
        <v>1274</v>
      </c>
    </row>
    <row r="772" customFormat="false" ht="25.5" hidden="false" customHeight="true" outlineLevel="0" collapsed="false">
      <c r="A772" s="10" t="s">
        <v>3044</v>
      </c>
      <c r="B772" s="10" t="s">
        <v>3045</v>
      </c>
      <c r="C772" s="10" t="s">
        <v>1287</v>
      </c>
      <c r="D772" s="10" t="n">
        <v>2023</v>
      </c>
      <c r="E772" s="10" t="s">
        <v>2853</v>
      </c>
      <c r="F772" s="10"/>
      <c r="G772" s="10" t="s">
        <v>2828</v>
      </c>
      <c r="H772" s="10" t="s">
        <v>25</v>
      </c>
      <c r="I772" s="10" t="s">
        <v>1289</v>
      </c>
    </row>
    <row r="773" customFormat="false" ht="51.75" hidden="false" customHeight="true" outlineLevel="0" collapsed="false">
      <c r="A773" s="9" t="s">
        <v>3046</v>
      </c>
      <c r="B773" s="9" t="s">
        <v>3047</v>
      </c>
      <c r="C773" s="9" t="s">
        <v>1297</v>
      </c>
      <c r="D773" s="9" t="n">
        <v>2023</v>
      </c>
      <c r="E773" s="9" t="s">
        <v>2850</v>
      </c>
      <c r="F773" s="9" t="s">
        <v>1298</v>
      </c>
      <c r="G773" s="9" t="s">
        <v>2828</v>
      </c>
      <c r="H773" s="9" t="s">
        <v>25</v>
      </c>
      <c r="I773" s="9" t="s">
        <v>1299</v>
      </c>
    </row>
    <row r="774" customFormat="false" ht="25.5" hidden="false" customHeight="true" outlineLevel="0" collapsed="false">
      <c r="A774" s="10" t="s">
        <v>3048</v>
      </c>
      <c r="B774" s="10" t="s">
        <v>3049</v>
      </c>
      <c r="C774" s="10" t="s">
        <v>3050</v>
      </c>
      <c r="D774" s="10" t="n">
        <v>2023</v>
      </c>
      <c r="E774" s="10" t="s">
        <v>2869</v>
      </c>
      <c r="F774" s="10" t="s">
        <v>255</v>
      </c>
      <c r="G774" s="10" t="s">
        <v>2828</v>
      </c>
      <c r="H774" s="10" t="s">
        <v>25</v>
      </c>
      <c r="I774" s="10" t="s">
        <v>1324</v>
      </c>
    </row>
    <row r="775" customFormat="false" ht="25.5" hidden="false" customHeight="true" outlineLevel="0" collapsed="false">
      <c r="A775" s="9" t="s">
        <v>3051</v>
      </c>
      <c r="B775" s="9" t="s">
        <v>3052</v>
      </c>
      <c r="C775" s="9" t="s">
        <v>3053</v>
      </c>
      <c r="D775" s="9" t="n">
        <v>2023</v>
      </c>
      <c r="E775" s="9" t="s">
        <v>2833</v>
      </c>
      <c r="F775" s="9" t="s">
        <v>1334</v>
      </c>
      <c r="G775" s="9" t="s">
        <v>2828</v>
      </c>
      <c r="H775" s="9" t="s">
        <v>25</v>
      </c>
      <c r="I775" s="9" t="s">
        <v>1335</v>
      </c>
    </row>
    <row r="776" customFormat="false" ht="39" hidden="false" customHeight="true" outlineLevel="0" collapsed="false">
      <c r="A776" s="10" t="s">
        <v>3054</v>
      </c>
      <c r="B776" s="10" t="s">
        <v>2892</v>
      </c>
      <c r="C776" s="10" t="s">
        <v>153</v>
      </c>
      <c r="D776" s="10" t="n">
        <v>2023</v>
      </c>
      <c r="E776" s="10" t="s">
        <v>159</v>
      </c>
      <c r="F776" s="10" t="s">
        <v>156</v>
      </c>
      <c r="G776" s="10" t="s">
        <v>2828</v>
      </c>
      <c r="H776" s="10" t="s">
        <v>25</v>
      </c>
      <c r="I776" s="10" t="s">
        <v>1337</v>
      </c>
    </row>
    <row r="777" customFormat="false" ht="25.5" hidden="false" customHeight="true" outlineLevel="0" collapsed="false">
      <c r="A777" s="9" t="s">
        <v>3055</v>
      </c>
      <c r="B777" s="9" t="s">
        <v>3056</v>
      </c>
      <c r="C777" s="9" t="s">
        <v>1342</v>
      </c>
      <c r="D777" s="9" t="n">
        <v>2023</v>
      </c>
      <c r="E777" s="9" t="s">
        <v>3057</v>
      </c>
      <c r="F777" s="9" t="s">
        <v>1344</v>
      </c>
      <c r="G777" s="9" t="s">
        <v>2828</v>
      </c>
      <c r="H777" s="9" t="s">
        <v>335</v>
      </c>
      <c r="I777" s="9" t="s">
        <v>1345</v>
      </c>
    </row>
    <row r="778" customFormat="false" ht="64.5" hidden="false" customHeight="true" outlineLevel="0" collapsed="false">
      <c r="A778" s="10" t="s">
        <v>3058</v>
      </c>
      <c r="B778" s="10" t="s">
        <v>3059</v>
      </c>
      <c r="C778" s="10" t="s">
        <v>1358</v>
      </c>
      <c r="D778" s="10" t="n">
        <v>2023</v>
      </c>
      <c r="E778" s="10" t="s">
        <v>3060</v>
      </c>
      <c r="F778" s="10"/>
      <c r="G778" s="10" t="s">
        <v>2828</v>
      </c>
      <c r="H778" s="10" t="s">
        <v>25</v>
      </c>
      <c r="I778" s="10" t="s">
        <v>1361</v>
      </c>
    </row>
    <row r="779" customFormat="false" ht="25.5" hidden="false" customHeight="true" outlineLevel="0" collapsed="false">
      <c r="A779" s="9" t="s">
        <v>3061</v>
      </c>
      <c r="B779" s="9" t="s">
        <v>3062</v>
      </c>
      <c r="C779" s="9" t="s">
        <v>1393</v>
      </c>
      <c r="D779" s="9" t="n">
        <v>2023</v>
      </c>
      <c r="E779" s="9" t="s">
        <v>3063</v>
      </c>
      <c r="F779" s="9" t="s">
        <v>1395</v>
      </c>
      <c r="G779" s="9" t="s">
        <v>2828</v>
      </c>
      <c r="H779" s="9" t="s">
        <v>25</v>
      </c>
      <c r="I779" s="9" t="s">
        <v>1396</v>
      </c>
    </row>
    <row r="780" customFormat="false" ht="25.5" hidden="false" customHeight="true" outlineLevel="0" collapsed="false">
      <c r="A780" s="10" t="s">
        <v>3064</v>
      </c>
      <c r="B780" s="10" t="s">
        <v>3065</v>
      </c>
      <c r="C780" s="10" t="s">
        <v>1399</v>
      </c>
      <c r="D780" s="10" t="n">
        <v>2023</v>
      </c>
      <c r="E780" s="10" t="s">
        <v>2869</v>
      </c>
      <c r="F780" s="10" t="s">
        <v>1400</v>
      </c>
      <c r="G780" s="10" t="s">
        <v>2828</v>
      </c>
      <c r="H780" s="10" t="s">
        <v>25</v>
      </c>
      <c r="I780" s="10" t="s">
        <v>1401</v>
      </c>
    </row>
    <row r="781" customFormat="false" ht="39" hidden="false" customHeight="true" outlineLevel="0" collapsed="false">
      <c r="A781" s="9" t="s">
        <v>3066</v>
      </c>
      <c r="B781" s="9" t="s">
        <v>3067</v>
      </c>
      <c r="C781" s="9" t="s">
        <v>1404</v>
      </c>
      <c r="D781" s="9" t="n">
        <v>2023</v>
      </c>
      <c r="E781" s="9" t="s">
        <v>3068</v>
      </c>
      <c r="F781" s="9" t="s">
        <v>1406</v>
      </c>
      <c r="G781" s="9" t="s">
        <v>2828</v>
      </c>
      <c r="H781" s="9" t="s">
        <v>25</v>
      </c>
      <c r="I781" s="9" t="s">
        <v>1407</v>
      </c>
    </row>
    <row r="782" customFormat="false" ht="39" hidden="false" customHeight="true" outlineLevel="0" collapsed="false">
      <c r="A782" s="10" t="s">
        <v>3069</v>
      </c>
      <c r="B782" s="10" t="s">
        <v>158</v>
      </c>
      <c r="C782" s="10" t="s">
        <v>157</v>
      </c>
      <c r="D782" s="10" t="n">
        <v>2022</v>
      </c>
      <c r="E782" s="10" t="s">
        <v>159</v>
      </c>
      <c r="F782" s="10" t="s">
        <v>160</v>
      </c>
      <c r="G782" s="10" t="s">
        <v>2828</v>
      </c>
      <c r="H782" s="10" t="s">
        <v>25</v>
      </c>
      <c r="I782" s="10" t="s">
        <v>3070</v>
      </c>
    </row>
    <row r="783" customFormat="false" ht="51.75" hidden="false" customHeight="true" outlineLevel="0" collapsed="false">
      <c r="A783" s="9" t="s">
        <v>3071</v>
      </c>
      <c r="B783" s="9" t="s">
        <v>3072</v>
      </c>
      <c r="C783" s="9" t="s">
        <v>143</v>
      </c>
      <c r="D783" s="9" t="n">
        <v>2022</v>
      </c>
      <c r="E783" s="9" t="s">
        <v>3073</v>
      </c>
      <c r="F783" s="9" t="s">
        <v>146</v>
      </c>
      <c r="G783" s="9" t="s">
        <v>2828</v>
      </c>
      <c r="H783" s="9" t="s">
        <v>25</v>
      </c>
      <c r="I783" s="9" t="s">
        <v>1471</v>
      </c>
    </row>
    <row r="784" customFormat="false" ht="39" hidden="false" customHeight="true" outlineLevel="0" collapsed="false">
      <c r="A784" s="10" t="s">
        <v>3074</v>
      </c>
      <c r="B784" s="10" t="s">
        <v>312</v>
      </c>
      <c r="C784" s="10" t="s">
        <v>311</v>
      </c>
      <c r="D784" s="10" t="n">
        <v>2022</v>
      </c>
      <c r="E784" s="10" t="s">
        <v>306</v>
      </c>
      <c r="F784" s="10" t="s">
        <v>313</v>
      </c>
      <c r="G784" s="10" t="s">
        <v>2828</v>
      </c>
      <c r="H784" s="10" t="s">
        <v>25</v>
      </c>
      <c r="I784" s="10" t="s">
        <v>3075</v>
      </c>
    </row>
    <row r="785" customFormat="false" ht="39" hidden="false" customHeight="true" outlineLevel="0" collapsed="false">
      <c r="A785" s="9" t="s">
        <v>3076</v>
      </c>
      <c r="B785" s="9" t="s">
        <v>305</v>
      </c>
      <c r="C785" s="9" t="s">
        <v>304</v>
      </c>
      <c r="D785" s="9" t="n">
        <v>2022</v>
      </c>
      <c r="E785" s="9" t="s">
        <v>306</v>
      </c>
      <c r="F785" s="9" t="s">
        <v>307</v>
      </c>
      <c r="G785" s="9" t="s">
        <v>2828</v>
      </c>
      <c r="H785" s="9" t="s">
        <v>25</v>
      </c>
      <c r="I785" s="9" t="s">
        <v>3077</v>
      </c>
    </row>
    <row r="786" customFormat="false" ht="51.75" hidden="false" customHeight="true" outlineLevel="0" collapsed="false">
      <c r="A786" s="10" t="s">
        <v>3078</v>
      </c>
      <c r="B786" s="10" t="s">
        <v>3079</v>
      </c>
      <c r="C786" s="10" t="s">
        <v>3080</v>
      </c>
      <c r="D786" s="10" t="n">
        <v>2022</v>
      </c>
      <c r="E786" s="10" t="s">
        <v>3081</v>
      </c>
      <c r="F786" s="10" t="s">
        <v>3082</v>
      </c>
      <c r="G786" s="10" t="s">
        <v>2828</v>
      </c>
      <c r="H786" s="10" t="s">
        <v>335</v>
      </c>
      <c r="I786" s="10" t="s">
        <v>3083</v>
      </c>
    </row>
    <row r="787" customFormat="false" ht="51.75" hidden="false" customHeight="true" outlineLevel="0" collapsed="false">
      <c r="A787" s="9" t="s">
        <v>3084</v>
      </c>
      <c r="B787" s="9" t="s">
        <v>3085</v>
      </c>
      <c r="C787" s="9" t="s">
        <v>226</v>
      </c>
      <c r="D787" s="9" t="n">
        <v>2022</v>
      </c>
      <c r="E787" s="9" t="s">
        <v>2850</v>
      </c>
      <c r="F787" s="9" t="s">
        <v>228</v>
      </c>
      <c r="G787" s="9" t="s">
        <v>2828</v>
      </c>
      <c r="H787" s="9" t="s">
        <v>25</v>
      </c>
      <c r="I787" s="9" t="s">
        <v>1485</v>
      </c>
    </row>
    <row r="788" customFormat="false" ht="51.75" hidden="false" customHeight="true" outlineLevel="0" collapsed="false">
      <c r="A788" s="10" t="s">
        <v>3086</v>
      </c>
      <c r="B788" s="10" t="s">
        <v>3087</v>
      </c>
      <c r="C788" s="10" t="s">
        <v>179</v>
      </c>
      <c r="D788" s="10" t="n">
        <v>2022</v>
      </c>
      <c r="E788" s="10" t="s">
        <v>284</v>
      </c>
      <c r="F788" s="10" t="s">
        <v>181</v>
      </c>
      <c r="G788" s="10" t="s">
        <v>2828</v>
      </c>
      <c r="H788" s="10" t="s">
        <v>25</v>
      </c>
      <c r="I788" s="10" t="s">
        <v>1487</v>
      </c>
    </row>
    <row r="789" customFormat="false" ht="25.5" hidden="false" customHeight="true" outlineLevel="0" collapsed="false">
      <c r="A789" s="9" t="s">
        <v>3088</v>
      </c>
      <c r="B789" s="9" t="s">
        <v>3089</v>
      </c>
      <c r="C789" s="9" t="s">
        <v>147</v>
      </c>
      <c r="D789" s="9" t="n">
        <v>2022</v>
      </c>
      <c r="E789" s="9" t="s">
        <v>54</v>
      </c>
      <c r="F789" s="9" t="s">
        <v>149</v>
      </c>
      <c r="G789" s="9" t="s">
        <v>2828</v>
      </c>
      <c r="H789" s="9" t="s">
        <v>25</v>
      </c>
      <c r="I789" s="9" t="s">
        <v>1494</v>
      </c>
    </row>
    <row r="790" customFormat="false" ht="25.5" hidden="false" customHeight="true" outlineLevel="0" collapsed="false">
      <c r="A790" s="10" t="s">
        <v>3090</v>
      </c>
      <c r="B790" s="10" t="s">
        <v>3091</v>
      </c>
      <c r="C790" s="10" t="s">
        <v>1543</v>
      </c>
      <c r="D790" s="10" t="n">
        <v>2022</v>
      </c>
      <c r="E790" s="10" t="s">
        <v>54</v>
      </c>
      <c r="F790" s="10" t="s">
        <v>1544</v>
      </c>
      <c r="G790" s="10" t="s">
        <v>2828</v>
      </c>
      <c r="H790" s="10" t="s">
        <v>25</v>
      </c>
      <c r="I790" s="10" t="s">
        <v>1545</v>
      </c>
    </row>
    <row r="791" customFormat="false" ht="39" hidden="false" customHeight="true" outlineLevel="0" collapsed="false">
      <c r="A791" s="9" t="s">
        <v>3092</v>
      </c>
      <c r="B791" s="9" t="s">
        <v>3093</v>
      </c>
      <c r="C791" s="9" t="s">
        <v>1548</v>
      </c>
      <c r="D791" s="9" t="n">
        <v>2022</v>
      </c>
      <c r="E791" s="9" t="s">
        <v>284</v>
      </c>
      <c r="F791" s="9" t="s">
        <v>1549</v>
      </c>
      <c r="G791" s="9" t="s">
        <v>2828</v>
      </c>
      <c r="H791" s="9" t="s">
        <v>25</v>
      </c>
      <c r="I791" s="9" t="s">
        <v>1550</v>
      </c>
    </row>
    <row r="792" customFormat="false" ht="51.75" hidden="false" customHeight="true" outlineLevel="0" collapsed="false">
      <c r="A792" s="10" t="s">
        <v>3094</v>
      </c>
      <c r="B792" s="10" t="s">
        <v>283</v>
      </c>
      <c r="C792" s="10" t="s">
        <v>282</v>
      </c>
      <c r="D792" s="10" t="n">
        <v>2022</v>
      </c>
      <c r="E792" s="10" t="s">
        <v>284</v>
      </c>
      <c r="F792" s="10" t="s">
        <v>285</v>
      </c>
      <c r="G792" s="10" t="s">
        <v>2828</v>
      </c>
      <c r="H792" s="10" t="s">
        <v>25</v>
      </c>
      <c r="I792" s="10" t="s">
        <v>3095</v>
      </c>
    </row>
    <row r="793" customFormat="false" ht="64.5" hidden="false" customHeight="true" outlineLevel="0" collapsed="false">
      <c r="A793" s="9" t="s">
        <v>3096</v>
      </c>
      <c r="B793" s="9" t="s">
        <v>3097</v>
      </c>
      <c r="C793" s="9" t="s">
        <v>3098</v>
      </c>
      <c r="D793" s="9" t="n">
        <v>2022</v>
      </c>
      <c r="E793" s="9" t="s">
        <v>2853</v>
      </c>
      <c r="F793" s="9"/>
      <c r="G793" s="9" t="s">
        <v>2828</v>
      </c>
      <c r="H793" s="9" t="s">
        <v>25</v>
      </c>
      <c r="I793" s="9" t="s">
        <v>1584</v>
      </c>
    </row>
    <row r="794" customFormat="false" ht="25.5" hidden="false" customHeight="true" outlineLevel="0" collapsed="false">
      <c r="A794" s="10" t="s">
        <v>3099</v>
      </c>
      <c r="B794" s="10" t="s">
        <v>3100</v>
      </c>
      <c r="C794" s="10" t="s">
        <v>3101</v>
      </c>
      <c r="D794" s="10" t="n">
        <v>2022</v>
      </c>
      <c r="E794" s="10" t="s">
        <v>2890</v>
      </c>
      <c r="F794" s="10" t="s">
        <v>3102</v>
      </c>
      <c r="G794" s="10" t="s">
        <v>2828</v>
      </c>
      <c r="H794" s="10" t="s">
        <v>25</v>
      </c>
      <c r="I794" s="10" t="s">
        <v>3103</v>
      </c>
    </row>
    <row r="795" customFormat="false" ht="39" hidden="false" customHeight="true" outlineLevel="0" collapsed="false">
      <c r="A795" s="9" t="s">
        <v>3104</v>
      </c>
      <c r="B795" s="9" t="s">
        <v>3105</v>
      </c>
      <c r="C795" s="9" t="s">
        <v>1628</v>
      </c>
      <c r="D795" s="9" t="n">
        <v>2022</v>
      </c>
      <c r="E795" s="9" t="s">
        <v>2853</v>
      </c>
      <c r="F795" s="9"/>
      <c r="G795" s="9" t="s">
        <v>2828</v>
      </c>
      <c r="H795" s="9" t="s">
        <v>25</v>
      </c>
      <c r="I795" s="9" t="s">
        <v>1630</v>
      </c>
    </row>
    <row r="796" customFormat="false" ht="25.5" hidden="false" customHeight="true" outlineLevel="0" collapsed="false">
      <c r="A796" s="10" t="s">
        <v>3106</v>
      </c>
      <c r="B796" s="10" t="s">
        <v>3107</v>
      </c>
      <c r="C796" s="10" t="s">
        <v>3108</v>
      </c>
      <c r="D796" s="10" t="n">
        <v>2022</v>
      </c>
      <c r="E796" s="10" t="s">
        <v>3109</v>
      </c>
      <c r="F796" s="10" t="s">
        <v>3110</v>
      </c>
      <c r="G796" s="10" t="s">
        <v>2828</v>
      </c>
      <c r="H796" s="10" t="s">
        <v>25</v>
      </c>
      <c r="I796" s="10" t="s">
        <v>3111</v>
      </c>
    </row>
    <row r="797" customFormat="false" ht="39" hidden="false" customHeight="true" outlineLevel="0" collapsed="false">
      <c r="A797" s="9" t="s">
        <v>3112</v>
      </c>
      <c r="B797" s="9" t="s">
        <v>3113</v>
      </c>
      <c r="C797" s="9" t="s">
        <v>1649</v>
      </c>
      <c r="D797" s="9" t="n">
        <v>2022</v>
      </c>
      <c r="E797" s="9" t="s">
        <v>2890</v>
      </c>
      <c r="F797" s="9" t="s">
        <v>1650</v>
      </c>
      <c r="G797" s="9" t="s">
        <v>2828</v>
      </c>
      <c r="H797" s="9" t="s">
        <v>25</v>
      </c>
      <c r="I797" s="9" t="s">
        <v>1651</v>
      </c>
    </row>
    <row r="798" customFormat="false" ht="25.5" hidden="false" customHeight="true" outlineLevel="0" collapsed="false">
      <c r="A798" s="10" t="s">
        <v>3114</v>
      </c>
      <c r="B798" s="10" t="s">
        <v>3115</v>
      </c>
      <c r="C798" s="10" t="s">
        <v>3116</v>
      </c>
      <c r="D798" s="10" t="n">
        <v>2021</v>
      </c>
      <c r="E798" s="10" t="s">
        <v>3117</v>
      </c>
      <c r="F798" s="10" t="s">
        <v>100</v>
      </c>
      <c r="G798" s="10" t="s">
        <v>2828</v>
      </c>
      <c r="H798" s="10" t="s">
        <v>25</v>
      </c>
      <c r="I798" s="10" t="s">
        <v>1668</v>
      </c>
    </row>
    <row r="799" customFormat="false" ht="39" hidden="false" customHeight="true" outlineLevel="0" collapsed="false">
      <c r="A799" s="9" t="s">
        <v>3118</v>
      </c>
      <c r="B799" s="9" t="s">
        <v>3119</v>
      </c>
      <c r="C799" s="9" t="s">
        <v>1664</v>
      </c>
      <c r="D799" s="9" t="n">
        <v>2021</v>
      </c>
      <c r="E799" s="9" t="s">
        <v>3120</v>
      </c>
      <c r="F799" s="9" t="s">
        <v>1665</v>
      </c>
      <c r="G799" s="9" t="s">
        <v>2828</v>
      </c>
      <c r="H799" s="9" t="s">
        <v>25</v>
      </c>
      <c r="I799" s="9" t="s">
        <v>1666</v>
      </c>
    </row>
    <row r="800" customFormat="false" ht="51.75" hidden="false" customHeight="true" outlineLevel="0" collapsed="false">
      <c r="A800" s="10" t="s">
        <v>3121</v>
      </c>
      <c r="B800" s="10" t="s">
        <v>3122</v>
      </c>
      <c r="C800" s="10" t="s">
        <v>3123</v>
      </c>
      <c r="D800" s="10" t="n">
        <v>2021</v>
      </c>
      <c r="E800" s="10" t="s">
        <v>188</v>
      </c>
      <c r="F800" s="10" t="s">
        <v>3124</v>
      </c>
      <c r="G800" s="10" t="s">
        <v>2828</v>
      </c>
      <c r="H800" s="10" t="s">
        <v>25</v>
      </c>
      <c r="I800" s="10" t="s">
        <v>3125</v>
      </c>
    </row>
    <row r="801" customFormat="false" ht="39" hidden="false" customHeight="true" outlineLevel="0" collapsed="false">
      <c r="A801" s="9" t="s">
        <v>3126</v>
      </c>
      <c r="B801" s="9" t="s">
        <v>3127</v>
      </c>
      <c r="C801" s="9" t="s">
        <v>200</v>
      </c>
      <c r="D801" s="9" t="n">
        <v>2021</v>
      </c>
      <c r="E801" s="9" t="s">
        <v>3128</v>
      </c>
      <c r="F801" s="9" t="s">
        <v>201</v>
      </c>
      <c r="G801" s="9" t="s">
        <v>2828</v>
      </c>
      <c r="H801" s="9" t="s">
        <v>25</v>
      </c>
      <c r="I801" s="9" t="s">
        <v>1681</v>
      </c>
    </row>
    <row r="802" customFormat="false" ht="25.5" hidden="false" customHeight="true" outlineLevel="0" collapsed="false">
      <c r="A802" s="10" t="s">
        <v>3129</v>
      </c>
      <c r="B802" s="10" t="s">
        <v>3130</v>
      </c>
      <c r="C802" s="10" t="s">
        <v>3131</v>
      </c>
      <c r="D802" s="10" t="n">
        <v>2021</v>
      </c>
      <c r="E802" s="10" t="s">
        <v>3037</v>
      </c>
      <c r="F802" s="10" t="s">
        <v>1685</v>
      </c>
      <c r="G802" s="10" t="s">
        <v>2828</v>
      </c>
      <c r="H802" s="10" t="s">
        <v>335</v>
      </c>
      <c r="I802" s="10" t="s">
        <v>1686</v>
      </c>
    </row>
    <row r="803" customFormat="false" ht="39" hidden="false" customHeight="true" outlineLevel="0" collapsed="false">
      <c r="A803" s="9" t="s">
        <v>3132</v>
      </c>
      <c r="B803" s="9" t="s">
        <v>3133</v>
      </c>
      <c r="C803" s="9" t="s">
        <v>241</v>
      </c>
      <c r="D803" s="9" t="n">
        <v>2021</v>
      </c>
      <c r="E803" s="9" t="s">
        <v>284</v>
      </c>
      <c r="F803" s="9" t="s">
        <v>243</v>
      </c>
      <c r="G803" s="9" t="s">
        <v>2828</v>
      </c>
      <c r="H803" s="9" t="s">
        <v>25</v>
      </c>
      <c r="I803" s="9" t="s">
        <v>1694</v>
      </c>
    </row>
    <row r="804" customFormat="false" ht="39" hidden="false" customHeight="true" outlineLevel="0" collapsed="false">
      <c r="A804" s="10" t="s">
        <v>3134</v>
      </c>
      <c r="B804" s="10" t="s">
        <v>3135</v>
      </c>
      <c r="C804" s="10" t="s">
        <v>3136</v>
      </c>
      <c r="D804" s="10" t="n">
        <v>2021</v>
      </c>
      <c r="E804" s="10" t="s">
        <v>3015</v>
      </c>
      <c r="F804" s="10" t="s">
        <v>3137</v>
      </c>
      <c r="G804" s="10" t="s">
        <v>2828</v>
      </c>
      <c r="H804" s="10" t="s">
        <v>25</v>
      </c>
      <c r="I804" s="10" t="s">
        <v>3138</v>
      </c>
    </row>
    <row r="805" customFormat="false" ht="39" hidden="false" customHeight="true" outlineLevel="0" collapsed="false">
      <c r="A805" s="9" t="s">
        <v>3139</v>
      </c>
      <c r="B805" s="9" t="s">
        <v>3140</v>
      </c>
      <c r="C805" s="9" t="s">
        <v>42</v>
      </c>
      <c r="D805" s="9" t="n">
        <v>2021</v>
      </c>
      <c r="E805" s="9" t="s">
        <v>54</v>
      </c>
      <c r="F805" s="9" t="s">
        <v>44</v>
      </c>
      <c r="G805" s="9" t="s">
        <v>2828</v>
      </c>
      <c r="H805" s="9" t="s">
        <v>25</v>
      </c>
      <c r="I805" s="9" t="s">
        <v>1718</v>
      </c>
    </row>
    <row r="806" customFormat="false" ht="25.5" hidden="false" customHeight="true" outlineLevel="0" collapsed="false">
      <c r="A806" s="10" t="s">
        <v>3141</v>
      </c>
      <c r="B806" s="10" t="s">
        <v>3142</v>
      </c>
      <c r="C806" s="10" t="s">
        <v>3143</v>
      </c>
      <c r="D806" s="10" t="n">
        <v>2021</v>
      </c>
      <c r="E806" s="10" t="s">
        <v>3144</v>
      </c>
      <c r="F806" s="10" t="s">
        <v>3145</v>
      </c>
      <c r="G806" s="10" t="s">
        <v>2828</v>
      </c>
      <c r="H806" s="10" t="s">
        <v>335</v>
      </c>
      <c r="I806" s="10" t="s">
        <v>3146</v>
      </c>
    </row>
    <row r="807" customFormat="false" ht="39" hidden="false" customHeight="true" outlineLevel="0" collapsed="false">
      <c r="A807" s="9" t="s">
        <v>3147</v>
      </c>
      <c r="B807" s="9" t="s">
        <v>3148</v>
      </c>
      <c r="C807" s="9" t="s">
        <v>3149</v>
      </c>
      <c r="D807" s="9" t="n">
        <v>2021</v>
      </c>
      <c r="E807" s="9" t="s">
        <v>3150</v>
      </c>
      <c r="F807" s="9" t="s">
        <v>3151</v>
      </c>
      <c r="G807" s="9" t="s">
        <v>2828</v>
      </c>
      <c r="H807" s="9" t="s">
        <v>335</v>
      </c>
      <c r="I807" s="9" t="s">
        <v>3152</v>
      </c>
    </row>
    <row r="808" customFormat="false" ht="51.75" hidden="false" customHeight="true" outlineLevel="0" collapsed="false">
      <c r="A808" s="10" t="s">
        <v>3153</v>
      </c>
      <c r="B808" s="10" t="s">
        <v>3154</v>
      </c>
      <c r="C808" s="10" t="s">
        <v>3155</v>
      </c>
      <c r="D808" s="10" t="n">
        <v>2021</v>
      </c>
      <c r="E808" s="10" t="s">
        <v>2833</v>
      </c>
      <c r="F808" s="10" t="s">
        <v>1727</v>
      </c>
      <c r="G808" s="10" t="s">
        <v>2828</v>
      </c>
      <c r="H808" s="10" t="s">
        <v>514</v>
      </c>
      <c r="I808" s="10" t="s">
        <v>1728</v>
      </c>
    </row>
    <row r="809" customFormat="false" ht="39" hidden="false" customHeight="true" outlineLevel="0" collapsed="false">
      <c r="A809" s="9" t="s">
        <v>3156</v>
      </c>
      <c r="B809" s="9" t="s">
        <v>94</v>
      </c>
      <c r="C809" s="9" t="s">
        <v>93</v>
      </c>
      <c r="D809" s="9" t="n">
        <v>2021</v>
      </c>
      <c r="E809" s="9" t="s">
        <v>95</v>
      </c>
      <c r="F809" s="9" t="s">
        <v>96</v>
      </c>
      <c r="G809" s="9" t="s">
        <v>2828</v>
      </c>
      <c r="H809" s="9" t="s">
        <v>25</v>
      </c>
      <c r="I809" s="9" t="s">
        <v>3157</v>
      </c>
    </row>
    <row r="810" customFormat="false" ht="39" hidden="false" customHeight="true" outlineLevel="0" collapsed="false">
      <c r="A810" s="10" t="s">
        <v>3158</v>
      </c>
      <c r="B810" s="10" t="s">
        <v>3159</v>
      </c>
      <c r="C810" s="10" t="s">
        <v>3160</v>
      </c>
      <c r="D810" s="10" t="n">
        <v>2021</v>
      </c>
      <c r="E810" s="10" t="s">
        <v>54</v>
      </c>
      <c r="F810" s="10" t="s">
        <v>163</v>
      </c>
      <c r="G810" s="10" t="s">
        <v>2828</v>
      </c>
      <c r="H810" s="10" t="s">
        <v>25</v>
      </c>
      <c r="I810" s="10" t="s">
        <v>1742</v>
      </c>
    </row>
    <row r="811" customFormat="false" ht="25.5" hidden="false" customHeight="true" outlineLevel="0" collapsed="false">
      <c r="A811" s="9" t="s">
        <v>3161</v>
      </c>
      <c r="B811" s="9" t="s">
        <v>3127</v>
      </c>
      <c r="C811" s="9" t="s">
        <v>182</v>
      </c>
      <c r="D811" s="9" t="n">
        <v>2021</v>
      </c>
      <c r="E811" s="9" t="s">
        <v>3162</v>
      </c>
      <c r="F811" s="9" t="s">
        <v>185</v>
      </c>
      <c r="G811" s="9" t="s">
        <v>2828</v>
      </c>
      <c r="H811" s="9" t="s">
        <v>25</v>
      </c>
      <c r="I811" s="9" t="s">
        <v>1755</v>
      </c>
    </row>
    <row r="812" customFormat="false" ht="39" hidden="false" customHeight="true" outlineLevel="0" collapsed="false">
      <c r="A812" s="10" t="s">
        <v>3163</v>
      </c>
      <c r="B812" s="10" t="s">
        <v>3164</v>
      </c>
      <c r="C812" s="10" t="s">
        <v>1769</v>
      </c>
      <c r="D812" s="10" t="n">
        <v>2021</v>
      </c>
      <c r="E812" s="10" t="s">
        <v>54</v>
      </c>
      <c r="F812" s="10" t="s">
        <v>1770</v>
      </c>
      <c r="G812" s="10" t="s">
        <v>2828</v>
      </c>
      <c r="H812" s="10" t="s">
        <v>25</v>
      </c>
      <c r="I812" s="10" t="s">
        <v>1771</v>
      </c>
    </row>
    <row r="813" customFormat="false" ht="39" hidden="false" customHeight="true" outlineLevel="0" collapsed="false">
      <c r="A813" s="9" t="s">
        <v>3165</v>
      </c>
      <c r="B813" s="9" t="s">
        <v>3166</v>
      </c>
      <c r="C813" s="9" t="s">
        <v>75</v>
      </c>
      <c r="D813" s="9" t="n">
        <v>2021</v>
      </c>
      <c r="E813" s="9" t="s">
        <v>3167</v>
      </c>
      <c r="F813" s="9" t="s">
        <v>78</v>
      </c>
      <c r="G813" s="9" t="s">
        <v>2828</v>
      </c>
      <c r="H813" s="9" t="s">
        <v>25</v>
      </c>
      <c r="I813" s="9" t="s">
        <v>1775</v>
      </c>
    </row>
    <row r="814" customFormat="false" ht="39" hidden="false" customHeight="true" outlineLevel="0" collapsed="false">
      <c r="A814" s="10" t="s">
        <v>3168</v>
      </c>
      <c r="B814" s="10" t="s">
        <v>3169</v>
      </c>
      <c r="C814" s="10" t="s">
        <v>1778</v>
      </c>
      <c r="D814" s="10" t="n">
        <v>2021</v>
      </c>
      <c r="E814" s="10" t="s">
        <v>3170</v>
      </c>
      <c r="F814" s="10" t="s">
        <v>1780</v>
      </c>
      <c r="G814" s="10" t="s">
        <v>2828</v>
      </c>
      <c r="H814" s="10" t="s">
        <v>335</v>
      </c>
      <c r="I814" s="10" t="s">
        <v>1781</v>
      </c>
    </row>
    <row r="815" customFormat="false" ht="39" hidden="false" customHeight="true" outlineLevel="0" collapsed="false">
      <c r="A815" s="9" t="s">
        <v>3171</v>
      </c>
      <c r="B815" s="9" t="s">
        <v>3172</v>
      </c>
      <c r="C815" s="9" t="s">
        <v>1820</v>
      </c>
      <c r="D815" s="9" t="n">
        <v>2021</v>
      </c>
      <c r="E815" s="9" t="s">
        <v>2850</v>
      </c>
      <c r="F815" s="9" t="s">
        <v>1821</v>
      </c>
      <c r="G815" s="9" t="s">
        <v>2828</v>
      </c>
      <c r="H815" s="9" t="s">
        <v>25</v>
      </c>
      <c r="I815" s="9" t="s">
        <v>1822</v>
      </c>
    </row>
    <row r="816" customFormat="false" ht="51.75" hidden="false" customHeight="true" outlineLevel="0" collapsed="false">
      <c r="A816" s="10" t="s">
        <v>3173</v>
      </c>
      <c r="B816" s="10" t="s">
        <v>3174</v>
      </c>
      <c r="C816" s="10" t="s">
        <v>3175</v>
      </c>
      <c r="D816" s="10" t="n">
        <v>2020</v>
      </c>
      <c r="E816" s="10" t="s">
        <v>2833</v>
      </c>
      <c r="F816" s="10" t="s">
        <v>3176</v>
      </c>
      <c r="G816" s="10" t="s">
        <v>2828</v>
      </c>
      <c r="H816" s="10" t="s">
        <v>25</v>
      </c>
      <c r="I816" s="10" t="s">
        <v>3177</v>
      </c>
    </row>
    <row r="817" customFormat="false" ht="39" hidden="false" customHeight="true" outlineLevel="0" collapsed="false">
      <c r="A817" s="9" t="s">
        <v>3178</v>
      </c>
      <c r="B817" s="9" t="s">
        <v>3179</v>
      </c>
      <c r="C817" s="9" t="s">
        <v>1851</v>
      </c>
      <c r="D817" s="9" t="n">
        <v>2020</v>
      </c>
      <c r="E817" s="9" t="s">
        <v>54</v>
      </c>
      <c r="F817" s="9" t="s">
        <v>1852</v>
      </c>
      <c r="G817" s="9" t="s">
        <v>2828</v>
      </c>
      <c r="H817" s="9" t="s">
        <v>25</v>
      </c>
      <c r="I817" s="9" t="s">
        <v>1853</v>
      </c>
    </row>
    <row r="818" customFormat="false" ht="25.5" hidden="false" customHeight="true" outlineLevel="0" collapsed="false">
      <c r="A818" s="10" t="s">
        <v>3180</v>
      </c>
      <c r="B818" s="10" t="s">
        <v>3181</v>
      </c>
      <c r="C818" s="10" t="s">
        <v>83</v>
      </c>
      <c r="D818" s="10" t="n">
        <v>2020</v>
      </c>
      <c r="E818" s="10" t="s">
        <v>54</v>
      </c>
      <c r="F818" s="10" t="s">
        <v>85</v>
      </c>
      <c r="G818" s="10" t="s">
        <v>2828</v>
      </c>
      <c r="H818" s="10" t="s">
        <v>25</v>
      </c>
      <c r="I818" s="10" t="s">
        <v>1855</v>
      </c>
    </row>
    <row r="819" customFormat="false" ht="25.5" hidden="false" customHeight="true" outlineLevel="0" collapsed="false">
      <c r="A819" s="9" t="s">
        <v>3182</v>
      </c>
      <c r="B819" s="9" t="s">
        <v>3183</v>
      </c>
      <c r="C819" s="9" t="s">
        <v>3184</v>
      </c>
      <c r="D819" s="9" t="n">
        <v>2020</v>
      </c>
      <c r="E819" s="9" t="s">
        <v>2984</v>
      </c>
      <c r="F819" s="9" t="s">
        <v>1866</v>
      </c>
      <c r="G819" s="9" t="s">
        <v>2828</v>
      </c>
      <c r="H819" s="9" t="s">
        <v>335</v>
      </c>
      <c r="I819" s="9" t="s">
        <v>1867</v>
      </c>
    </row>
    <row r="820" customFormat="false" ht="39" hidden="false" customHeight="true" outlineLevel="0" collapsed="false">
      <c r="A820" s="10" t="s">
        <v>3185</v>
      </c>
      <c r="B820" s="10" t="s">
        <v>3186</v>
      </c>
      <c r="C820" s="10" t="s">
        <v>1870</v>
      </c>
      <c r="D820" s="10" t="n">
        <v>2020</v>
      </c>
      <c r="E820" s="10" t="s">
        <v>3187</v>
      </c>
      <c r="F820" s="10"/>
      <c r="G820" s="10" t="s">
        <v>2828</v>
      </c>
      <c r="H820" s="10" t="s">
        <v>25</v>
      </c>
      <c r="I820" s="10" t="s">
        <v>1872</v>
      </c>
    </row>
    <row r="821" customFormat="false" ht="51.75" hidden="false" customHeight="true" outlineLevel="0" collapsed="false">
      <c r="A821" s="9" t="s">
        <v>3188</v>
      </c>
      <c r="B821" s="9" t="s">
        <v>3189</v>
      </c>
      <c r="C821" s="9" t="s">
        <v>3190</v>
      </c>
      <c r="D821" s="9" t="n">
        <v>2020</v>
      </c>
      <c r="E821" s="9" t="s">
        <v>2826</v>
      </c>
      <c r="F821" s="9" t="s">
        <v>3191</v>
      </c>
      <c r="G821" s="9" t="s">
        <v>2828</v>
      </c>
      <c r="H821" s="9" t="s">
        <v>514</v>
      </c>
      <c r="I821" s="9" t="s">
        <v>3192</v>
      </c>
    </row>
    <row r="822" customFormat="false" ht="39" hidden="false" customHeight="true" outlineLevel="0" collapsed="false">
      <c r="A822" s="10" t="s">
        <v>3193</v>
      </c>
      <c r="B822" s="10" t="s">
        <v>3194</v>
      </c>
      <c r="C822" s="10" t="s">
        <v>3195</v>
      </c>
      <c r="D822" s="10" t="n">
        <v>2020</v>
      </c>
      <c r="E822" s="10" t="s">
        <v>3128</v>
      </c>
      <c r="F822" s="10" t="s">
        <v>142</v>
      </c>
      <c r="G822" s="10" t="s">
        <v>2828</v>
      </c>
      <c r="H822" s="10" t="s">
        <v>25</v>
      </c>
      <c r="I822" s="10" t="s">
        <v>1921</v>
      </c>
    </row>
    <row r="823" customFormat="false" ht="39" hidden="false" customHeight="true" outlineLevel="0" collapsed="false">
      <c r="A823" s="9" t="s">
        <v>3196</v>
      </c>
      <c r="B823" s="9" t="s">
        <v>3197</v>
      </c>
      <c r="C823" s="9" t="s">
        <v>220</v>
      </c>
      <c r="D823" s="9" t="n">
        <v>2020</v>
      </c>
      <c r="E823" s="9" t="s">
        <v>159</v>
      </c>
      <c r="F823" s="9" t="s">
        <v>222</v>
      </c>
      <c r="G823" s="9" t="s">
        <v>2828</v>
      </c>
      <c r="H823" s="9" t="s">
        <v>25</v>
      </c>
      <c r="I823" s="9" t="s">
        <v>1923</v>
      </c>
    </row>
    <row r="824" customFormat="false" ht="39" hidden="false" customHeight="true" outlineLevel="0" collapsed="false">
      <c r="A824" s="10" t="s">
        <v>3198</v>
      </c>
      <c r="B824" s="10" t="s">
        <v>3199</v>
      </c>
      <c r="C824" s="10" t="s">
        <v>1930</v>
      </c>
      <c r="D824" s="10" t="n">
        <v>2020</v>
      </c>
      <c r="E824" s="10" t="s">
        <v>3073</v>
      </c>
      <c r="F824" s="10" t="s">
        <v>1931</v>
      </c>
      <c r="G824" s="10" t="s">
        <v>2828</v>
      </c>
      <c r="H824" s="10" t="s">
        <v>25</v>
      </c>
      <c r="I824" s="10" t="s">
        <v>1932</v>
      </c>
    </row>
    <row r="825" customFormat="false" ht="39" hidden="false" customHeight="true" outlineLevel="0" collapsed="false">
      <c r="A825" s="9" t="s">
        <v>3200</v>
      </c>
      <c r="B825" s="9" t="s">
        <v>3201</v>
      </c>
      <c r="C825" s="9" t="s">
        <v>1935</v>
      </c>
      <c r="D825" s="9" t="n">
        <v>2020</v>
      </c>
      <c r="E825" s="9" t="s">
        <v>54</v>
      </c>
      <c r="F825" s="9" t="s">
        <v>1936</v>
      </c>
      <c r="G825" s="9" t="s">
        <v>2828</v>
      </c>
      <c r="H825" s="9" t="s">
        <v>25</v>
      </c>
      <c r="I825" s="9" t="s">
        <v>1937</v>
      </c>
    </row>
    <row r="826" customFormat="false" ht="64.5" hidden="false" customHeight="true" outlineLevel="0" collapsed="false">
      <c r="A826" s="10" t="s">
        <v>3202</v>
      </c>
      <c r="B826" s="10" t="s">
        <v>3203</v>
      </c>
      <c r="C826" s="10" t="s">
        <v>64</v>
      </c>
      <c r="D826" s="10" t="n">
        <v>2020</v>
      </c>
      <c r="E826" s="10" t="s">
        <v>3128</v>
      </c>
      <c r="F826" s="10" t="s">
        <v>67</v>
      </c>
      <c r="G826" s="10" t="s">
        <v>2828</v>
      </c>
      <c r="H826" s="10" t="s">
        <v>25</v>
      </c>
      <c r="I826" s="10" t="s">
        <v>1953</v>
      </c>
    </row>
    <row r="827" customFormat="false" ht="39" hidden="false" customHeight="true" outlineLevel="0" collapsed="false">
      <c r="A827" s="9" t="s">
        <v>3204</v>
      </c>
      <c r="B827" s="9" t="s">
        <v>3205</v>
      </c>
      <c r="C827" s="9" t="s">
        <v>3206</v>
      </c>
      <c r="D827" s="9" t="n">
        <v>2020</v>
      </c>
      <c r="E827" s="9" t="s">
        <v>3207</v>
      </c>
      <c r="F827" s="9" t="s">
        <v>1958</v>
      </c>
      <c r="G827" s="9" t="s">
        <v>2828</v>
      </c>
      <c r="H827" s="9" t="s">
        <v>25</v>
      </c>
      <c r="I827" s="9" t="s">
        <v>3208</v>
      </c>
    </row>
    <row r="828" customFormat="false" ht="39" hidden="false" customHeight="true" outlineLevel="0" collapsed="false">
      <c r="A828" s="10" t="s">
        <v>3209</v>
      </c>
      <c r="B828" s="10" t="s">
        <v>3210</v>
      </c>
      <c r="C828" s="10" t="s">
        <v>1962</v>
      </c>
      <c r="D828" s="10" t="n">
        <v>2020</v>
      </c>
      <c r="E828" s="10" t="s">
        <v>3128</v>
      </c>
      <c r="F828" s="10" t="s">
        <v>1963</v>
      </c>
      <c r="G828" s="10" t="s">
        <v>2828</v>
      </c>
      <c r="H828" s="10" t="s">
        <v>25</v>
      </c>
      <c r="I828" s="10" t="s">
        <v>1964</v>
      </c>
    </row>
    <row r="829" customFormat="false" ht="39" hidden="false" customHeight="true" outlineLevel="0" collapsed="false">
      <c r="A829" s="9" t="s">
        <v>3211</v>
      </c>
      <c r="B829" s="9" t="s">
        <v>3212</v>
      </c>
      <c r="C829" s="9" t="s">
        <v>3213</v>
      </c>
      <c r="D829" s="9" t="n">
        <v>2020</v>
      </c>
      <c r="E829" s="9" t="s">
        <v>3214</v>
      </c>
      <c r="F829" s="9" t="s">
        <v>3215</v>
      </c>
      <c r="G829" s="9" t="s">
        <v>2828</v>
      </c>
      <c r="H829" s="9" t="s">
        <v>514</v>
      </c>
      <c r="I829" s="9" t="s">
        <v>3216</v>
      </c>
    </row>
    <row r="830" customFormat="false" ht="39" hidden="false" customHeight="true" outlineLevel="0" collapsed="false">
      <c r="A830" s="10" t="s">
        <v>3217</v>
      </c>
      <c r="B830" s="10" t="s">
        <v>3218</v>
      </c>
      <c r="C830" s="10" t="s">
        <v>3219</v>
      </c>
      <c r="D830" s="10" t="n">
        <v>2020</v>
      </c>
      <c r="E830" s="10" t="s">
        <v>3128</v>
      </c>
      <c r="F830" s="10" t="s">
        <v>3220</v>
      </c>
      <c r="G830" s="10" t="s">
        <v>2828</v>
      </c>
      <c r="H830" s="10" t="s">
        <v>25</v>
      </c>
      <c r="I830" s="10" t="s">
        <v>3221</v>
      </c>
    </row>
    <row r="831" customFormat="false" ht="25.5" hidden="false" customHeight="true" outlineLevel="0" collapsed="false">
      <c r="A831" s="9" t="s">
        <v>3222</v>
      </c>
      <c r="B831" s="9" t="s">
        <v>3223</v>
      </c>
      <c r="C831" s="9" t="s">
        <v>1973</v>
      </c>
      <c r="D831" s="9" t="n">
        <v>2020</v>
      </c>
      <c r="E831" s="9" t="s">
        <v>70</v>
      </c>
      <c r="F831" s="9" t="s">
        <v>1974</v>
      </c>
      <c r="G831" s="9" t="s">
        <v>2828</v>
      </c>
      <c r="H831" s="9" t="s">
        <v>25</v>
      </c>
      <c r="I831" s="9" t="s">
        <v>1975</v>
      </c>
    </row>
    <row r="832" customFormat="false" ht="39" hidden="false" customHeight="true" outlineLevel="0" collapsed="false">
      <c r="A832" s="10" t="s">
        <v>3224</v>
      </c>
      <c r="B832" s="10" t="s">
        <v>3225</v>
      </c>
      <c r="C832" s="10" t="s">
        <v>1982</v>
      </c>
      <c r="D832" s="10" t="n">
        <v>2020</v>
      </c>
      <c r="E832" s="10" t="s">
        <v>3226</v>
      </c>
      <c r="F832" s="10"/>
      <c r="G832" s="10" t="s">
        <v>2828</v>
      </c>
      <c r="H832" s="10" t="s">
        <v>514</v>
      </c>
      <c r="I832" s="10" t="s">
        <v>1985</v>
      </c>
    </row>
    <row r="833" customFormat="false" ht="25.5" hidden="false" customHeight="true" outlineLevel="0" collapsed="false">
      <c r="A833" s="9" t="s">
        <v>3227</v>
      </c>
      <c r="B833" s="9" t="s">
        <v>3228</v>
      </c>
      <c r="C833" s="9" t="s">
        <v>3229</v>
      </c>
      <c r="D833" s="9" t="n">
        <v>2020</v>
      </c>
      <c r="E833" s="9" t="s">
        <v>3187</v>
      </c>
      <c r="F833" s="9" t="s">
        <v>1994</v>
      </c>
      <c r="G833" s="9" t="s">
        <v>2828</v>
      </c>
      <c r="H833" s="9" t="s">
        <v>25</v>
      </c>
      <c r="I833" s="9" t="s">
        <v>1995</v>
      </c>
    </row>
    <row r="834" customFormat="false" ht="25.5" hidden="false" customHeight="true" outlineLevel="0" collapsed="false">
      <c r="A834" s="10" t="s">
        <v>3230</v>
      </c>
      <c r="B834" s="10" t="s">
        <v>3231</v>
      </c>
      <c r="C834" s="10" t="s">
        <v>3232</v>
      </c>
      <c r="D834" s="10" t="n">
        <v>2020</v>
      </c>
      <c r="E834" s="10" t="s">
        <v>3233</v>
      </c>
      <c r="F834" s="10" t="s">
        <v>3234</v>
      </c>
      <c r="G834" s="10" t="s">
        <v>2828</v>
      </c>
      <c r="H834" s="10" t="s">
        <v>25</v>
      </c>
      <c r="I834" s="10" t="s">
        <v>3235</v>
      </c>
    </row>
    <row r="835" customFormat="false" ht="39" hidden="false" customHeight="true" outlineLevel="0" collapsed="false">
      <c r="A835" s="9" t="s">
        <v>3236</v>
      </c>
      <c r="B835" s="9" t="s">
        <v>3237</v>
      </c>
      <c r="C835" s="9" t="s">
        <v>3238</v>
      </c>
      <c r="D835" s="9" t="n">
        <v>2020</v>
      </c>
      <c r="E835" s="9" t="s">
        <v>2850</v>
      </c>
      <c r="F835" s="9" t="s">
        <v>3239</v>
      </c>
      <c r="G835" s="9" t="s">
        <v>2828</v>
      </c>
      <c r="H835" s="9" t="s">
        <v>514</v>
      </c>
      <c r="I835" s="9" t="s">
        <v>3240</v>
      </c>
    </row>
    <row r="836" customFormat="false" ht="25.5" hidden="false" customHeight="true" outlineLevel="0" collapsed="false">
      <c r="A836" s="10" t="s">
        <v>3241</v>
      </c>
      <c r="B836" s="10" t="s">
        <v>3242</v>
      </c>
      <c r="C836" s="10" t="s">
        <v>355</v>
      </c>
      <c r="D836" s="10" t="n">
        <v>2020</v>
      </c>
      <c r="E836" s="10" t="s">
        <v>3243</v>
      </c>
      <c r="F836" s="10" t="s">
        <v>358</v>
      </c>
      <c r="G836" s="10" t="s">
        <v>2828</v>
      </c>
      <c r="H836" s="10" t="s">
        <v>25</v>
      </c>
      <c r="I836" s="10" t="s">
        <v>2005</v>
      </c>
    </row>
    <row r="837" customFormat="false" ht="39" hidden="false" customHeight="true" outlineLevel="0" collapsed="false">
      <c r="A837" s="9" t="s">
        <v>3244</v>
      </c>
      <c r="B837" s="9" t="s">
        <v>3245</v>
      </c>
      <c r="C837" s="9" t="s">
        <v>336</v>
      </c>
      <c r="D837" s="9" t="n">
        <v>2020</v>
      </c>
      <c r="E837" s="9" t="s">
        <v>3109</v>
      </c>
      <c r="F837" s="9" t="s">
        <v>339</v>
      </c>
      <c r="G837" s="9" t="s">
        <v>2828</v>
      </c>
      <c r="H837" s="9" t="s">
        <v>25</v>
      </c>
      <c r="I837" s="9" t="s">
        <v>2033</v>
      </c>
    </row>
    <row r="838" customFormat="false" ht="51.75" hidden="false" customHeight="true" outlineLevel="0" collapsed="false">
      <c r="A838" s="10" t="s">
        <v>3246</v>
      </c>
      <c r="B838" s="10" t="s">
        <v>3247</v>
      </c>
      <c r="C838" s="10" t="s">
        <v>2041</v>
      </c>
      <c r="D838" s="10" t="n">
        <v>2019</v>
      </c>
      <c r="E838" s="10" t="s">
        <v>2973</v>
      </c>
      <c r="F838" s="10" t="s">
        <v>2042</v>
      </c>
      <c r="G838" s="10" t="s">
        <v>2828</v>
      </c>
      <c r="H838" s="10" t="s">
        <v>335</v>
      </c>
      <c r="I838" s="10" t="s">
        <v>2043</v>
      </c>
    </row>
    <row r="839" customFormat="false" ht="25.5" hidden="false" customHeight="true" outlineLevel="0" collapsed="false">
      <c r="A839" s="9" t="s">
        <v>3248</v>
      </c>
      <c r="B839" s="9" t="s">
        <v>3249</v>
      </c>
      <c r="C839" s="9" t="s">
        <v>3250</v>
      </c>
      <c r="D839" s="9" t="n">
        <v>2019</v>
      </c>
      <c r="E839" s="9" t="s">
        <v>3068</v>
      </c>
      <c r="F839" s="9" t="s">
        <v>3251</v>
      </c>
      <c r="G839" s="9" t="s">
        <v>2828</v>
      </c>
      <c r="H839" s="9" t="s">
        <v>25</v>
      </c>
      <c r="I839" s="9" t="s">
        <v>3252</v>
      </c>
    </row>
    <row r="840" customFormat="false" ht="51.75" hidden="false" customHeight="true" outlineLevel="0" collapsed="false">
      <c r="A840" s="10" t="s">
        <v>3253</v>
      </c>
      <c r="B840" s="10" t="s">
        <v>3254</v>
      </c>
      <c r="C840" s="10" t="s">
        <v>2071</v>
      </c>
      <c r="D840" s="10" t="n">
        <v>2019</v>
      </c>
      <c r="E840" s="10" t="s">
        <v>2987</v>
      </c>
      <c r="F840" s="10" t="s">
        <v>2072</v>
      </c>
      <c r="G840" s="10" t="s">
        <v>2828</v>
      </c>
      <c r="H840" s="10" t="s">
        <v>25</v>
      </c>
      <c r="I840" s="10" t="s">
        <v>2073</v>
      </c>
    </row>
    <row r="841" customFormat="false" ht="25.5" hidden="false" customHeight="true" outlineLevel="0" collapsed="false">
      <c r="A841" s="9" t="s">
        <v>3255</v>
      </c>
      <c r="B841" s="9" t="s">
        <v>3256</v>
      </c>
      <c r="C841" s="9" t="s">
        <v>3257</v>
      </c>
      <c r="D841" s="9" t="n">
        <v>2019</v>
      </c>
      <c r="E841" s="9" t="s">
        <v>54</v>
      </c>
      <c r="F841" s="9" t="s">
        <v>3258</v>
      </c>
      <c r="G841" s="9" t="s">
        <v>2828</v>
      </c>
      <c r="H841" s="9" t="s">
        <v>25</v>
      </c>
      <c r="I841" s="9" t="s">
        <v>3259</v>
      </c>
    </row>
    <row r="842" customFormat="false" ht="39" hidden="false" customHeight="true" outlineLevel="0" collapsed="false">
      <c r="A842" s="10" t="s">
        <v>3260</v>
      </c>
      <c r="B842" s="10" t="s">
        <v>3261</v>
      </c>
      <c r="C842" s="10" t="s">
        <v>3262</v>
      </c>
      <c r="D842" s="10" t="n">
        <v>2019</v>
      </c>
      <c r="E842" s="10" t="s">
        <v>3263</v>
      </c>
      <c r="F842" s="10" t="s">
        <v>3264</v>
      </c>
      <c r="G842" s="10" t="s">
        <v>2828</v>
      </c>
      <c r="H842" s="10" t="s">
        <v>25</v>
      </c>
      <c r="I842" s="10" t="s">
        <v>3265</v>
      </c>
    </row>
    <row r="843" customFormat="false" ht="25.5" hidden="false" customHeight="true" outlineLevel="0" collapsed="false">
      <c r="A843" s="9" t="s">
        <v>3266</v>
      </c>
      <c r="B843" s="9" t="s">
        <v>3267</v>
      </c>
      <c r="C843" s="9" t="s">
        <v>263</v>
      </c>
      <c r="D843" s="9" t="n">
        <v>2019</v>
      </c>
      <c r="E843" s="9" t="s">
        <v>54</v>
      </c>
      <c r="F843" s="9" t="s">
        <v>265</v>
      </c>
      <c r="G843" s="9" t="s">
        <v>2828</v>
      </c>
      <c r="H843" s="9" t="s">
        <v>25</v>
      </c>
      <c r="I843" s="9" t="s">
        <v>2085</v>
      </c>
    </row>
    <row r="844" customFormat="false" ht="39" hidden="false" customHeight="true" outlineLevel="0" collapsed="false">
      <c r="A844" s="10" t="s">
        <v>3268</v>
      </c>
      <c r="B844" s="10" t="s">
        <v>3269</v>
      </c>
      <c r="C844" s="10" t="s">
        <v>2096</v>
      </c>
      <c r="D844" s="10" t="n">
        <v>2019</v>
      </c>
      <c r="E844" s="10" t="s">
        <v>54</v>
      </c>
      <c r="F844" s="10" t="s">
        <v>2097</v>
      </c>
      <c r="G844" s="10" t="s">
        <v>2828</v>
      </c>
      <c r="H844" s="10" t="s">
        <v>25</v>
      </c>
      <c r="I844" s="10" t="s">
        <v>2098</v>
      </c>
    </row>
    <row r="845" customFormat="false" ht="25.5" hidden="false" customHeight="true" outlineLevel="0" collapsed="false">
      <c r="A845" s="9" t="s">
        <v>3270</v>
      </c>
      <c r="B845" s="9" t="s">
        <v>3271</v>
      </c>
      <c r="C845" s="9" t="s">
        <v>3272</v>
      </c>
      <c r="D845" s="9" t="n">
        <v>2019</v>
      </c>
      <c r="E845" s="9" t="s">
        <v>3043</v>
      </c>
      <c r="F845" s="9" t="s">
        <v>3273</v>
      </c>
      <c r="G845" s="9" t="s">
        <v>2828</v>
      </c>
      <c r="H845" s="9" t="s">
        <v>25</v>
      </c>
      <c r="I845" s="9" t="s">
        <v>3274</v>
      </c>
    </row>
    <row r="846" customFormat="false" ht="25.5" hidden="false" customHeight="true" outlineLevel="0" collapsed="false">
      <c r="A846" s="10" t="s">
        <v>3275</v>
      </c>
      <c r="B846" s="10" t="s">
        <v>3276</v>
      </c>
      <c r="C846" s="10" t="s">
        <v>3277</v>
      </c>
      <c r="D846" s="10" t="n">
        <v>2019</v>
      </c>
      <c r="E846" s="10" t="s">
        <v>2850</v>
      </c>
      <c r="F846" s="10" t="s">
        <v>2107</v>
      </c>
      <c r="G846" s="10" t="s">
        <v>2828</v>
      </c>
      <c r="H846" s="10" t="s">
        <v>25</v>
      </c>
      <c r="I846" s="10" t="s">
        <v>2108</v>
      </c>
    </row>
    <row r="847" customFormat="false" ht="51.75" hidden="false" customHeight="true" outlineLevel="0" collapsed="false">
      <c r="A847" s="9" t="s">
        <v>3278</v>
      </c>
      <c r="B847" s="9" t="s">
        <v>3279</v>
      </c>
      <c r="C847" s="9" t="s">
        <v>2101</v>
      </c>
      <c r="D847" s="9" t="n">
        <v>2019</v>
      </c>
      <c r="E847" s="9" t="s">
        <v>3280</v>
      </c>
      <c r="F847" s="9"/>
      <c r="G847" s="9" t="s">
        <v>2828</v>
      </c>
      <c r="H847" s="9" t="s">
        <v>25</v>
      </c>
      <c r="I847" s="9" t="s">
        <v>2103</v>
      </c>
    </row>
    <row r="848" customFormat="false" ht="39" hidden="false" customHeight="true" outlineLevel="0" collapsed="false">
      <c r="A848" s="10" t="s">
        <v>3281</v>
      </c>
      <c r="B848" s="10" t="s">
        <v>3282</v>
      </c>
      <c r="C848" s="10" t="s">
        <v>3283</v>
      </c>
      <c r="D848" s="10" t="n">
        <v>2019</v>
      </c>
      <c r="E848" s="10" t="s">
        <v>3284</v>
      </c>
      <c r="F848" s="10" t="s">
        <v>3285</v>
      </c>
      <c r="G848" s="10" t="s">
        <v>2828</v>
      </c>
      <c r="H848" s="10" t="s">
        <v>335</v>
      </c>
      <c r="I848" s="10" t="s">
        <v>3286</v>
      </c>
    </row>
    <row r="849" customFormat="false" ht="25.5" hidden="false" customHeight="true" outlineLevel="0" collapsed="false">
      <c r="A849" s="9" t="s">
        <v>3287</v>
      </c>
      <c r="B849" s="9" t="s">
        <v>3288</v>
      </c>
      <c r="C849" s="9" t="s">
        <v>3289</v>
      </c>
      <c r="D849" s="9" t="n">
        <v>2019</v>
      </c>
      <c r="E849" s="9" t="s">
        <v>3187</v>
      </c>
      <c r="F849" s="9" t="s">
        <v>2128</v>
      </c>
      <c r="G849" s="9" t="s">
        <v>2828</v>
      </c>
      <c r="H849" s="9" t="s">
        <v>25</v>
      </c>
      <c r="I849" s="9" t="s">
        <v>2129</v>
      </c>
    </row>
    <row r="850" customFormat="false" ht="51.75" hidden="false" customHeight="true" outlineLevel="0" collapsed="false">
      <c r="A850" s="10" t="s">
        <v>3290</v>
      </c>
      <c r="B850" s="10" t="s">
        <v>3291</v>
      </c>
      <c r="C850" s="10" t="s">
        <v>3292</v>
      </c>
      <c r="D850" s="10" t="n">
        <v>2019</v>
      </c>
      <c r="E850" s="10" t="s">
        <v>3015</v>
      </c>
      <c r="F850" s="10" t="s">
        <v>3293</v>
      </c>
      <c r="G850" s="10" t="s">
        <v>2828</v>
      </c>
      <c r="H850" s="10" t="s">
        <v>25</v>
      </c>
      <c r="I850" s="10" t="s">
        <v>3294</v>
      </c>
    </row>
    <row r="851" customFormat="false" ht="39" hidden="false" customHeight="true" outlineLevel="0" collapsed="false">
      <c r="A851" s="9" t="s">
        <v>3295</v>
      </c>
      <c r="B851" s="9" t="s">
        <v>3296</v>
      </c>
      <c r="C851" s="9" t="s">
        <v>3297</v>
      </c>
      <c r="D851" s="9" t="n">
        <v>2019</v>
      </c>
      <c r="E851" s="9" t="s">
        <v>3298</v>
      </c>
      <c r="F851" s="9" t="s">
        <v>3299</v>
      </c>
      <c r="G851" s="9" t="s">
        <v>2828</v>
      </c>
      <c r="H851" s="9" t="s">
        <v>25</v>
      </c>
      <c r="I851" s="9" t="s">
        <v>3300</v>
      </c>
    </row>
    <row r="852" customFormat="false" ht="39" hidden="false" customHeight="true" outlineLevel="0" collapsed="false">
      <c r="A852" s="10" t="s">
        <v>3301</v>
      </c>
      <c r="B852" s="10" t="s">
        <v>3302</v>
      </c>
      <c r="C852" s="10" t="s">
        <v>2138</v>
      </c>
      <c r="D852" s="10" t="n">
        <v>2019</v>
      </c>
      <c r="E852" s="10" t="s">
        <v>3303</v>
      </c>
      <c r="F852" s="10" t="s">
        <v>2140</v>
      </c>
      <c r="G852" s="10" t="s">
        <v>2828</v>
      </c>
      <c r="H852" s="10" t="s">
        <v>335</v>
      </c>
      <c r="I852" s="10" t="s">
        <v>2141</v>
      </c>
    </row>
    <row r="853" customFormat="false" ht="39" hidden="false" customHeight="true" outlineLevel="0" collapsed="false">
      <c r="A853" s="9" t="s">
        <v>3304</v>
      </c>
      <c r="B853" s="9" t="s">
        <v>224</v>
      </c>
      <c r="C853" s="9" t="s">
        <v>223</v>
      </c>
      <c r="D853" s="9" t="n">
        <v>2019</v>
      </c>
      <c r="E853" s="9" t="s">
        <v>54</v>
      </c>
      <c r="F853" s="9" t="s">
        <v>225</v>
      </c>
      <c r="G853" s="9" t="s">
        <v>2828</v>
      </c>
      <c r="H853" s="9" t="s">
        <v>25</v>
      </c>
      <c r="I853" s="9" t="s">
        <v>3305</v>
      </c>
    </row>
    <row r="854" customFormat="false" ht="39" hidden="false" customHeight="true" outlineLevel="0" collapsed="false">
      <c r="A854" s="10" t="s">
        <v>3306</v>
      </c>
      <c r="B854" s="10" t="s">
        <v>3307</v>
      </c>
      <c r="C854" s="10" t="s">
        <v>2149</v>
      </c>
      <c r="D854" s="10" t="n">
        <v>2019</v>
      </c>
      <c r="E854" s="10" t="s">
        <v>54</v>
      </c>
      <c r="F854" s="10" t="s">
        <v>2150</v>
      </c>
      <c r="G854" s="10" t="s">
        <v>2828</v>
      </c>
      <c r="H854" s="10" t="s">
        <v>25</v>
      </c>
      <c r="I854" s="10" t="s">
        <v>2151</v>
      </c>
    </row>
    <row r="855" customFormat="false" ht="39" hidden="false" customHeight="true" outlineLevel="0" collapsed="false">
      <c r="A855" s="9" t="s">
        <v>3308</v>
      </c>
      <c r="B855" s="9" t="s">
        <v>3309</v>
      </c>
      <c r="C855" s="9" t="s">
        <v>3310</v>
      </c>
      <c r="D855" s="9" t="n">
        <v>2019</v>
      </c>
      <c r="E855" s="9" t="s">
        <v>3311</v>
      </c>
      <c r="F855" s="9" t="s">
        <v>3312</v>
      </c>
      <c r="G855" s="9" t="s">
        <v>2828</v>
      </c>
      <c r="H855" s="9" t="s">
        <v>335</v>
      </c>
      <c r="I855" s="9" t="s">
        <v>3313</v>
      </c>
    </row>
    <row r="856" customFormat="false" ht="51.75" hidden="false" customHeight="true" outlineLevel="0" collapsed="false">
      <c r="A856" s="10" t="s">
        <v>3314</v>
      </c>
      <c r="B856" s="10" t="s">
        <v>3315</v>
      </c>
      <c r="C856" s="10" t="s">
        <v>3316</v>
      </c>
      <c r="D856" s="10" t="n">
        <v>2019</v>
      </c>
      <c r="E856" s="10" t="s">
        <v>2976</v>
      </c>
      <c r="F856" s="10" t="s">
        <v>3317</v>
      </c>
      <c r="G856" s="10" t="s">
        <v>2828</v>
      </c>
      <c r="H856" s="10" t="s">
        <v>335</v>
      </c>
      <c r="I856" s="10" t="s">
        <v>3318</v>
      </c>
    </row>
    <row r="857" customFormat="false" ht="39" hidden="false" customHeight="true" outlineLevel="0" collapsed="false">
      <c r="A857" s="9" t="s">
        <v>3319</v>
      </c>
      <c r="B857" s="9" t="s">
        <v>295</v>
      </c>
      <c r="C857" s="9" t="s">
        <v>294</v>
      </c>
      <c r="D857" s="9" t="n">
        <v>2019</v>
      </c>
      <c r="E857" s="9" t="s">
        <v>296</v>
      </c>
      <c r="F857" s="9" t="s">
        <v>297</v>
      </c>
      <c r="G857" s="9" t="s">
        <v>2828</v>
      </c>
      <c r="H857" s="9" t="s">
        <v>25</v>
      </c>
      <c r="I857" s="9" t="s">
        <v>3320</v>
      </c>
    </row>
    <row r="858" customFormat="false" ht="78" hidden="false" customHeight="true" outlineLevel="0" collapsed="false">
      <c r="A858" s="10" t="s">
        <v>3321</v>
      </c>
      <c r="B858" s="10" t="s">
        <v>3322</v>
      </c>
      <c r="C858" s="10" t="s">
        <v>2206</v>
      </c>
      <c r="D858" s="10" t="n">
        <v>2019</v>
      </c>
      <c r="E858" s="10" t="s">
        <v>3323</v>
      </c>
      <c r="F858" s="10" t="s">
        <v>2207</v>
      </c>
      <c r="G858" s="10" t="s">
        <v>2828</v>
      </c>
      <c r="H858" s="10" t="s">
        <v>25</v>
      </c>
      <c r="I858" s="10" t="s">
        <v>2208</v>
      </c>
    </row>
    <row r="859" customFormat="false" ht="25.5" hidden="false" customHeight="true" outlineLevel="0" collapsed="false">
      <c r="A859" s="9" t="s">
        <v>3324</v>
      </c>
      <c r="B859" s="9" t="s">
        <v>3325</v>
      </c>
      <c r="C859" s="9" t="s">
        <v>3326</v>
      </c>
      <c r="D859" s="9" t="n">
        <v>2018</v>
      </c>
      <c r="E859" s="9" t="s">
        <v>95</v>
      </c>
      <c r="F859" s="9" t="s">
        <v>3327</v>
      </c>
      <c r="G859" s="9" t="s">
        <v>2828</v>
      </c>
      <c r="H859" s="9" t="s">
        <v>514</v>
      </c>
      <c r="I859" s="9" t="s">
        <v>3328</v>
      </c>
    </row>
    <row r="860" customFormat="false" ht="39" hidden="false" customHeight="true" outlineLevel="0" collapsed="false">
      <c r="A860" s="10" t="s">
        <v>3329</v>
      </c>
      <c r="B860" s="10" t="s">
        <v>22</v>
      </c>
      <c r="C860" s="10" t="s">
        <v>21</v>
      </c>
      <c r="D860" s="10" t="n">
        <v>2018</v>
      </c>
      <c r="E860" s="10" t="s">
        <v>23</v>
      </c>
      <c r="F860" s="10" t="s">
        <v>24</v>
      </c>
      <c r="G860" s="10" t="s">
        <v>2828</v>
      </c>
      <c r="H860" s="10" t="s">
        <v>25</v>
      </c>
      <c r="I860" s="10" t="s">
        <v>3330</v>
      </c>
    </row>
    <row r="861" customFormat="false" ht="25.5" hidden="false" customHeight="true" outlineLevel="0" collapsed="false">
      <c r="A861" s="9" t="s">
        <v>3331</v>
      </c>
      <c r="B861" s="9" t="s">
        <v>3332</v>
      </c>
      <c r="C861" s="9" t="s">
        <v>2242</v>
      </c>
      <c r="D861" s="9" t="n">
        <v>2018</v>
      </c>
      <c r="E861" s="9" t="s">
        <v>3333</v>
      </c>
      <c r="F861" s="9" t="s">
        <v>2244</v>
      </c>
      <c r="G861" s="9" t="s">
        <v>2828</v>
      </c>
      <c r="H861" s="9" t="s">
        <v>25</v>
      </c>
      <c r="I861" s="9" t="s">
        <v>2245</v>
      </c>
    </row>
    <row r="862" customFormat="false" ht="39" hidden="false" customHeight="true" outlineLevel="0" collapsed="false">
      <c r="A862" s="10" t="s">
        <v>3334</v>
      </c>
      <c r="B862" s="10" t="s">
        <v>3335</v>
      </c>
      <c r="C862" s="10" t="s">
        <v>3336</v>
      </c>
      <c r="D862" s="10" t="n">
        <v>2018</v>
      </c>
      <c r="E862" s="10" t="s">
        <v>3337</v>
      </c>
      <c r="F862" s="10" t="s">
        <v>2249</v>
      </c>
      <c r="G862" s="10" t="s">
        <v>2828</v>
      </c>
      <c r="H862" s="10" t="s">
        <v>25</v>
      </c>
      <c r="I862" s="10" t="s">
        <v>2250</v>
      </c>
    </row>
    <row r="863" customFormat="false" ht="39" hidden="false" customHeight="true" outlineLevel="0" collapsed="false">
      <c r="A863" s="9" t="s">
        <v>3338</v>
      </c>
      <c r="B863" s="9" t="s">
        <v>3339</v>
      </c>
      <c r="C863" s="9" t="s">
        <v>72</v>
      </c>
      <c r="D863" s="9" t="n">
        <v>2018</v>
      </c>
      <c r="E863" s="9" t="s">
        <v>54</v>
      </c>
      <c r="F863" s="9" t="s">
        <v>74</v>
      </c>
      <c r="G863" s="9" t="s">
        <v>2828</v>
      </c>
      <c r="H863" s="9" t="s">
        <v>25</v>
      </c>
      <c r="I863" s="9" t="s">
        <v>2263</v>
      </c>
    </row>
    <row r="864" customFormat="false" ht="39" hidden="false" customHeight="true" outlineLevel="0" collapsed="false">
      <c r="A864" s="10" t="s">
        <v>3340</v>
      </c>
      <c r="B864" s="10" t="s">
        <v>3341</v>
      </c>
      <c r="C864" s="10" t="s">
        <v>150</v>
      </c>
      <c r="D864" s="10" t="n">
        <v>2018</v>
      </c>
      <c r="E864" s="10" t="s">
        <v>54</v>
      </c>
      <c r="F864" s="10" t="s">
        <v>152</v>
      </c>
      <c r="G864" s="10" t="s">
        <v>2828</v>
      </c>
      <c r="H864" s="10" t="s">
        <v>25</v>
      </c>
      <c r="I864" s="10" t="s">
        <v>2271</v>
      </c>
    </row>
    <row r="865" customFormat="false" ht="25.5" hidden="false" customHeight="true" outlineLevel="0" collapsed="false">
      <c r="A865" s="9" t="s">
        <v>3342</v>
      </c>
      <c r="B865" s="9" t="s">
        <v>309</v>
      </c>
      <c r="C865" s="9" t="s">
        <v>308</v>
      </c>
      <c r="D865" s="9" t="n">
        <v>2018</v>
      </c>
      <c r="E865" s="9" t="s">
        <v>306</v>
      </c>
      <c r="F865" s="9" t="s">
        <v>310</v>
      </c>
      <c r="G865" s="9" t="s">
        <v>2828</v>
      </c>
      <c r="H865" s="9" t="s">
        <v>25</v>
      </c>
      <c r="I865" s="9" t="s">
        <v>3343</v>
      </c>
    </row>
    <row r="866" customFormat="false" ht="25.5" hidden="false" customHeight="true" outlineLevel="0" collapsed="false">
      <c r="A866" s="10" t="s">
        <v>3344</v>
      </c>
      <c r="B866" s="10" t="s">
        <v>3345</v>
      </c>
      <c r="C866" s="10" t="s">
        <v>2290</v>
      </c>
      <c r="D866" s="10" t="n">
        <v>2018</v>
      </c>
      <c r="E866" s="10" t="s">
        <v>2850</v>
      </c>
      <c r="F866" s="10" t="s">
        <v>2291</v>
      </c>
      <c r="G866" s="10" t="s">
        <v>2828</v>
      </c>
      <c r="H866" s="10" t="s">
        <v>25</v>
      </c>
      <c r="I866" s="10" t="s">
        <v>2292</v>
      </c>
    </row>
    <row r="867" customFormat="false" ht="39" hidden="false" customHeight="true" outlineLevel="0" collapsed="false">
      <c r="A867" s="9" t="s">
        <v>3346</v>
      </c>
      <c r="B867" s="9" t="s">
        <v>3347</v>
      </c>
      <c r="C867" s="9" t="s">
        <v>3348</v>
      </c>
      <c r="D867" s="9" t="n">
        <v>2018</v>
      </c>
      <c r="E867" s="9" t="s">
        <v>3187</v>
      </c>
      <c r="F867" s="9" t="s">
        <v>3349</v>
      </c>
      <c r="G867" s="9" t="s">
        <v>2828</v>
      </c>
      <c r="H867" s="9" t="s">
        <v>25</v>
      </c>
      <c r="I867" s="9" t="s">
        <v>2320</v>
      </c>
    </row>
    <row r="868" customFormat="false" ht="51.75" hidden="false" customHeight="true" outlineLevel="0" collapsed="false">
      <c r="A868" s="10" t="s">
        <v>3350</v>
      </c>
      <c r="B868" s="10" t="s">
        <v>3351</v>
      </c>
      <c r="C868" s="10" t="s">
        <v>3352</v>
      </c>
      <c r="D868" s="10" t="n">
        <v>2018</v>
      </c>
      <c r="E868" s="10" t="s">
        <v>3263</v>
      </c>
      <c r="F868" s="10" t="s">
        <v>3353</v>
      </c>
      <c r="G868" s="10" t="s">
        <v>2828</v>
      </c>
      <c r="H868" s="10" t="s">
        <v>514</v>
      </c>
      <c r="I868" s="10" t="s">
        <v>3354</v>
      </c>
    </row>
    <row r="869" customFormat="false" ht="39" hidden="false" customHeight="true" outlineLevel="0" collapsed="false">
      <c r="A869" s="9" t="s">
        <v>3355</v>
      </c>
      <c r="B869" s="9" t="s">
        <v>3356</v>
      </c>
      <c r="C869" s="9" t="s">
        <v>3357</v>
      </c>
      <c r="D869" s="9" t="n">
        <v>2018</v>
      </c>
      <c r="E869" s="9" t="s">
        <v>3150</v>
      </c>
      <c r="F869" s="9" t="s">
        <v>3358</v>
      </c>
      <c r="G869" s="9" t="s">
        <v>2828</v>
      </c>
      <c r="H869" s="9" t="s">
        <v>25</v>
      </c>
      <c r="I869" s="9" t="s">
        <v>3359</v>
      </c>
    </row>
    <row r="870" customFormat="false" ht="39" hidden="false" customHeight="true" outlineLevel="0" collapsed="false">
      <c r="A870" s="10" t="s">
        <v>3360</v>
      </c>
      <c r="B870" s="10" t="s">
        <v>3361</v>
      </c>
      <c r="C870" s="10" t="s">
        <v>34</v>
      </c>
      <c r="D870" s="10" t="n">
        <v>2018</v>
      </c>
      <c r="E870" s="10" t="s">
        <v>3362</v>
      </c>
      <c r="F870" s="10" t="s">
        <v>37</v>
      </c>
      <c r="G870" s="10" t="s">
        <v>2828</v>
      </c>
      <c r="H870" s="10" t="s">
        <v>25</v>
      </c>
      <c r="I870" s="10" t="s">
        <v>2343</v>
      </c>
    </row>
    <row r="871" customFormat="false" ht="39" hidden="false" customHeight="true" outlineLevel="0" collapsed="false">
      <c r="A871" s="9" t="s">
        <v>3363</v>
      </c>
      <c r="B871" s="9" t="s">
        <v>3364</v>
      </c>
      <c r="C871" s="9" t="s">
        <v>2351</v>
      </c>
      <c r="D871" s="9" t="n">
        <v>2018</v>
      </c>
      <c r="E871" s="9" t="s">
        <v>54</v>
      </c>
      <c r="F871" s="9" t="s">
        <v>2352</v>
      </c>
      <c r="G871" s="9" t="s">
        <v>2828</v>
      </c>
      <c r="H871" s="9" t="s">
        <v>25</v>
      </c>
      <c r="I871" s="9" t="s">
        <v>2353</v>
      </c>
    </row>
    <row r="872" customFormat="false" ht="39" hidden="false" customHeight="true" outlineLevel="0" collapsed="false">
      <c r="A872" s="10" t="s">
        <v>3365</v>
      </c>
      <c r="B872" s="10" t="s">
        <v>349</v>
      </c>
      <c r="C872" s="10" t="s">
        <v>348</v>
      </c>
      <c r="D872" s="10" t="n">
        <v>2017</v>
      </c>
      <c r="E872" s="10" t="s">
        <v>350</v>
      </c>
      <c r="F872" s="10"/>
      <c r="G872" s="10" t="s">
        <v>2828</v>
      </c>
      <c r="H872" s="10" t="s">
        <v>335</v>
      </c>
      <c r="I872" s="10" t="s">
        <v>3366</v>
      </c>
    </row>
    <row r="873" customFormat="false" ht="51.75" hidden="false" customHeight="true" outlineLevel="0" collapsed="false">
      <c r="A873" s="9" t="s">
        <v>3367</v>
      </c>
      <c r="B873" s="9" t="s">
        <v>3368</v>
      </c>
      <c r="C873" s="9" t="s">
        <v>86</v>
      </c>
      <c r="D873" s="9" t="n">
        <v>2017</v>
      </c>
      <c r="E873" s="9" t="s">
        <v>54</v>
      </c>
      <c r="F873" s="9" t="s">
        <v>88</v>
      </c>
      <c r="G873" s="9" t="s">
        <v>2828</v>
      </c>
      <c r="H873" s="9" t="s">
        <v>25</v>
      </c>
      <c r="I873" s="9" t="s">
        <v>2371</v>
      </c>
    </row>
    <row r="874" customFormat="false" ht="64.5" hidden="false" customHeight="true" outlineLevel="0" collapsed="false">
      <c r="A874" s="10" t="s">
        <v>3369</v>
      </c>
      <c r="B874" s="10" t="s">
        <v>3370</v>
      </c>
      <c r="C874" s="10" t="s">
        <v>3371</v>
      </c>
      <c r="D874" s="10" t="n">
        <v>2017</v>
      </c>
      <c r="E874" s="10" t="s">
        <v>2853</v>
      </c>
      <c r="F874" s="10" t="s">
        <v>3372</v>
      </c>
      <c r="G874" s="10" t="s">
        <v>2828</v>
      </c>
      <c r="H874" s="10" t="s">
        <v>25</v>
      </c>
      <c r="I874" s="10" t="s">
        <v>2392</v>
      </c>
    </row>
    <row r="875" customFormat="false" ht="39" hidden="false" customHeight="true" outlineLevel="0" collapsed="false">
      <c r="A875" s="9" t="s">
        <v>3373</v>
      </c>
      <c r="B875" s="9" t="s">
        <v>3374</v>
      </c>
      <c r="C875" s="9" t="s">
        <v>2385</v>
      </c>
      <c r="D875" s="9" t="n">
        <v>2017</v>
      </c>
      <c r="E875" s="9" t="s">
        <v>70</v>
      </c>
      <c r="F875" s="9" t="s">
        <v>2386</v>
      </c>
      <c r="G875" s="9" t="s">
        <v>2828</v>
      </c>
      <c r="H875" s="9" t="s">
        <v>335</v>
      </c>
      <c r="I875" s="9" t="s">
        <v>2387</v>
      </c>
    </row>
    <row r="876" customFormat="false" ht="39" hidden="false" customHeight="true" outlineLevel="0" collapsed="false">
      <c r="A876" s="10" t="s">
        <v>3375</v>
      </c>
      <c r="B876" s="10" t="s">
        <v>279</v>
      </c>
      <c r="C876" s="10" t="s">
        <v>278</v>
      </c>
      <c r="D876" s="10" t="n">
        <v>2017</v>
      </c>
      <c r="E876" s="10" t="s">
        <v>280</v>
      </c>
      <c r="F876" s="10" t="s">
        <v>281</v>
      </c>
      <c r="G876" s="10" t="s">
        <v>2828</v>
      </c>
      <c r="H876" s="10" t="s">
        <v>25</v>
      </c>
      <c r="I876" s="10" t="s">
        <v>3376</v>
      </c>
    </row>
    <row r="877" customFormat="false" ht="78" hidden="false" customHeight="true" outlineLevel="0" collapsed="false">
      <c r="A877" s="9" t="s">
        <v>3377</v>
      </c>
      <c r="B877" s="9" t="s">
        <v>3378</v>
      </c>
      <c r="C877" s="9" t="s">
        <v>79</v>
      </c>
      <c r="D877" s="9" t="n">
        <v>2017</v>
      </c>
      <c r="E877" s="9" t="s">
        <v>2850</v>
      </c>
      <c r="F877" s="9" t="s">
        <v>82</v>
      </c>
      <c r="G877" s="9" t="s">
        <v>2828</v>
      </c>
      <c r="H877" s="9" t="s">
        <v>25</v>
      </c>
      <c r="I877" s="9" t="s">
        <v>2409</v>
      </c>
    </row>
    <row r="878" customFormat="false" ht="25.5" hidden="false" customHeight="true" outlineLevel="0" collapsed="false">
      <c r="A878" s="10" t="s">
        <v>3379</v>
      </c>
      <c r="B878" s="10" t="s">
        <v>3380</v>
      </c>
      <c r="C878" s="10" t="s">
        <v>2428</v>
      </c>
      <c r="D878" s="10" t="n">
        <v>2017</v>
      </c>
      <c r="E878" s="10" t="s">
        <v>3381</v>
      </c>
      <c r="F878" s="10" t="s">
        <v>2430</v>
      </c>
      <c r="G878" s="10" t="s">
        <v>2828</v>
      </c>
      <c r="H878" s="10" t="s">
        <v>25</v>
      </c>
      <c r="I878" s="10" t="s">
        <v>2431</v>
      </c>
    </row>
    <row r="879" customFormat="false" ht="51.75" hidden="false" customHeight="true" outlineLevel="0" collapsed="false">
      <c r="A879" s="9" t="s">
        <v>3382</v>
      </c>
      <c r="B879" s="9" t="s">
        <v>39</v>
      </c>
      <c r="C879" s="9" t="s">
        <v>38</v>
      </c>
      <c r="D879" s="9" t="n">
        <v>2017</v>
      </c>
      <c r="E879" s="9" t="s">
        <v>40</v>
      </c>
      <c r="F879" s="9" t="s">
        <v>41</v>
      </c>
      <c r="G879" s="9" t="s">
        <v>2828</v>
      </c>
      <c r="H879" s="9" t="s">
        <v>25</v>
      </c>
      <c r="I879" s="9" t="s">
        <v>3383</v>
      </c>
    </row>
    <row r="880" customFormat="false" ht="39" hidden="false" customHeight="true" outlineLevel="0" collapsed="false">
      <c r="A880" s="10" t="s">
        <v>3384</v>
      </c>
      <c r="B880" s="10" t="s">
        <v>3385</v>
      </c>
      <c r="C880" s="10" t="s">
        <v>2460</v>
      </c>
      <c r="D880" s="10" t="n">
        <v>2017</v>
      </c>
      <c r="E880" s="10" t="s">
        <v>2850</v>
      </c>
      <c r="F880" s="10" t="s">
        <v>2461</v>
      </c>
      <c r="G880" s="10" t="s">
        <v>2828</v>
      </c>
      <c r="H880" s="10" t="s">
        <v>25</v>
      </c>
      <c r="I880" s="10" t="s">
        <v>2462</v>
      </c>
    </row>
    <row r="881" customFormat="false" ht="51.75" hidden="false" customHeight="true" outlineLevel="0" collapsed="false">
      <c r="A881" s="9" t="s">
        <v>3386</v>
      </c>
      <c r="B881" s="9" t="s">
        <v>3387</v>
      </c>
      <c r="C881" s="9" t="s">
        <v>3388</v>
      </c>
      <c r="D881" s="9" t="n">
        <v>2017</v>
      </c>
      <c r="E881" s="9" t="s">
        <v>3187</v>
      </c>
      <c r="F881" s="9" t="s">
        <v>3389</v>
      </c>
      <c r="G881" s="9" t="s">
        <v>2828</v>
      </c>
      <c r="H881" s="9" t="s">
        <v>25</v>
      </c>
      <c r="I881" s="9" t="s">
        <v>2469</v>
      </c>
    </row>
    <row r="882" customFormat="false" ht="25.5" hidden="false" customHeight="true" outlineLevel="0" collapsed="false">
      <c r="A882" s="10" t="s">
        <v>3390</v>
      </c>
      <c r="B882" s="10" t="s">
        <v>3391</v>
      </c>
      <c r="C882" s="10" t="s">
        <v>3392</v>
      </c>
      <c r="D882" s="10" t="n">
        <v>2017</v>
      </c>
      <c r="E882" s="10" t="s">
        <v>3187</v>
      </c>
      <c r="F882" s="10" t="s">
        <v>3393</v>
      </c>
      <c r="G882" s="10" t="s">
        <v>2828</v>
      </c>
      <c r="H882" s="10" t="s">
        <v>25</v>
      </c>
      <c r="I882" s="10" t="s">
        <v>2494</v>
      </c>
    </row>
    <row r="883" customFormat="false" ht="39" hidden="false" customHeight="true" outlineLevel="0" collapsed="false">
      <c r="A883" s="9" t="s">
        <v>3394</v>
      </c>
      <c r="B883" s="9" t="s">
        <v>257</v>
      </c>
      <c r="C883" s="9" t="s">
        <v>256</v>
      </c>
      <c r="D883" s="9" t="n">
        <v>2017</v>
      </c>
      <c r="E883" s="9" t="s">
        <v>258</v>
      </c>
      <c r="F883" s="9" t="s">
        <v>259</v>
      </c>
      <c r="G883" s="9" t="s">
        <v>2828</v>
      </c>
      <c r="H883" s="9" t="s">
        <v>25</v>
      </c>
      <c r="I883" s="9" t="s">
        <v>3395</v>
      </c>
    </row>
    <row r="884" customFormat="false" ht="25.5" hidden="false" customHeight="true" outlineLevel="0" collapsed="false">
      <c r="A884" s="10" t="s">
        <v>3396</v>
      </c>
      <c r="B884" s="10" t="s">
        <v>3397</v>
      </c>
      <c r="C884" s="10" t="s">
        <v>3398</v>
      </c>
      <c r="D884" s="10" t="n">
        <v>2017</v>
      </c>
      <c r="E884" s="10" t="s">
        <v>3399</v>
      </c>
      <c r="F884" s="10" t="s">
        <v>3400</v>
      </c>
      <c r="G884" s="10" t="s">
        <v>2828</v>
      </c>
      <c r="H884" s="10" t="s">
        <v>25</v>
      </c>
      <c r="I884" s="10" t="s">
        <v>3401</v>
      </c>
    </row>
    <row r="885" customFormat="false" ht="39" hidden="false" customHeight="true" outlineLevel="0" collapsed="false">
      <c r="A885" s="9" t="s">
        <v>3402</v>
      </c>
      <c r="B885" s="9" t="s">
        <v>3403</v>
      </c>
      <c r="C885" s="9" t="s">
        <v>3404</v>
      </c>
      <c r="D885" s="9" t="n">
        <v>2017</v>
      </c>
      <c r="E885" s="9" t="s">
        <v>54</v>
      </c>
      <c r="F885" s="9" t="s">
        <v>3405</v>
      </c>
      <c r="G885" s="9" t="s">
        <v>2828</v>
      </c>
      <c r="H885" s="9" t="s">
        <v>25</v>
      </c>
      <c r="I885" s="9" t="s">
        <v>3406</v>
      </c>
    </row>
    <row r="886" customFormat="false" ht="39" hidden="false" customHeight="true" outlineLevel="0" collapsed="false">
      <c r="A886" s="10" t="s">
        <v>3407</v>
      </c>
      <c r="B886" s="10" t="s">
        <v>3408</v>
      </c>
      <c r="C886" s="10" t="s">
        <v>3409</v>
      </c>
      <c r="D886" s="10" t="n">
        <v>2016</v>
      </c>
      <c r="E886" s="10" t="s">
        <v>70</v>
      </c>
      <c r="F886" s="10" t="s">
        <v>3410</v>
      </c>
      <c r="G886" s="10" t="s">
        <v>2828</v>
      </c>
      <c r="H886" s="10" t="s">
        <v>25</v>
      </c>
      <c r="I886" s="10" t="s">
        <v>3411</v>
      </c>
    </row>
    <row r="887" customFormat="false" ht="51.75" hidden="false" customHeight="true" outlineLevel="0" collapsed="false">
      <c r="A887" s="9" t="s">
        <v>3412</v>
      </c>
      <c r="B887" s="9" t="s">
        <v>39</v>
      </c>
      <c r="C887" s="9" t="s">
        <v>3413</v>
      </c>
      <c r="D887" s="9" t="n">
        <v>2016</v>
      </c>
      <c r="E887" s="9" t="s">
        <v>3414</v>
      </c>
      <c r="F887" s="9" t="s">
        <v>3415</v>
      </c>
      <c r="G887" s="9" t="s">
        <v>2828</v>
      </c>
      <c r="H887" s="9" t="s">
        <v>25</v>
      </c>
      <c r="I887" s="9" t="s">
        <v>3416</v>
      </c>
    </row>
    <row r="888" customFormat="false" ht="39" hidden="false" customHeight="true" outlineLevel="0" collapsed="false">
      <c r="A888" s="10" t="s">
        <v>3417</v>
      </c>
      <c r="B888" s="10" t="s">
        <v>3418</v>
      </c>
      <c r="C888" s="10" t="s">
        <v>2573</v>
      </c>
      <c r="D888" s="10" t="n">
        <v>2016</v>
      </c>
      <c r="E888" s="10" t="s">
        <v>3419</v>
      </c>
      <c r="F888" s="10" t="s">
        <v>2574</v>
      </c>
      <c r="G888" s="10" t="s">
        <v>2828</v>
      </c>
      <c r="H888" s="10" t="s">
        <v>25</v>
      </c>
      <c r="I888" s="10" t="s">
        <v>2575</v>
      </c>
    </row>
    <row r="889" customFormat="false" ht="25.5" hidden="false" customHeight="true" outlineLevel="0" collapsed="false">
      <c r="A889" s="9" t="s">
        <v>3420</v>
      </c>
      <c r="B889" s="9" t="s">
        <v>3421</v>
      </c>
      <c r="C889" s="9" t="s">
        <v>2578</v>
      </c>
      <c r="D889" s="9" t="n">
        <v>2016</v>
      </c>
      <c r="E889" s="9" t="s">
        <v>3120</v>
      </c>
      <c r="F889" s="9" t="s">
        <v>2579</v>
      </c>
      <c r="G889" s="9" t="s">
        <v>2828</v>
      </c>
      <c r="H889" s="9" t="s">
        <v>25</v>
      </c>
      <c r="I889" s="9" t="s">
        <v>2580</v>
      </c>
    </row>
    <row r="890" customFormat="false" ht="51.75" hidden="false" customHeight="true" outlineLevel="0" collapsed="false">
      <c r="A890" s="10" t="s">
        <v>3422</v>
      </c>
      <c r="B890" s="10" t="s">
        <v>3423</v>
      </c>
      <c r="C890" s="10" t="s">
        <v>3424</v>
      </c>
      <c r="D890" s="10" t="n">
        <v>2016</v>
      </c>
      <c r="E890" s="10" t="s">
        <v>3167</v>
      </c>
      <c r="F890" s="10" t="s">
        <v>3425</v>
      </c>
      <c r="G890" s="10" t="s">
        <v>2828</v>
      </c>
      <c r="H890" s="10" t="s">
        <v>335</v>
      </c>
      <c r="I890" s="10" t="s">
        <v>3426</v>
      </c>
    </row>
    <row r="891" customFormat="false" ht="25.5" hidden="false" customHeight="true" outlineLevel="0" collapsed="false">
      <c r="A891" s="9" t="s">
        <v>3427</v>
      </c>
      <c r="B891" s="9" t="s">
        <v>3428</v>
      </c>
      <c r="C891" s="9" t="s">
        <v>176</v>
      </c>
      <c r="D891" s="9" t="n">
        <v>2016</v>
      </c>
      <c r="E891" s="9" t="s">
        <v>54</v>
      </c>
      <c r="F891" s="9" t="s">
        <v>178</v>
      </c>
      <c r="G891" s="9" t="s">
        <v>2828</v>
      </c>
      <c r="H891" s="9" t="s">
        <v>25</v>
      </c>
      <c r="I891" s="9" t="s">
        <v>2584</v>
      </c>
    </row>
    <row r="892" customFormat="false" ht="39" hidden="false" customHeight="true" outlineLevel="0" collapsed="false">
      <c r="A892" s="10" t="s">
        <v>3429</v>
      </c>
      <c r="B892" s="10" t="s">
        <v>3430</v>
      </c>
      <c r="C892" s="10" t="s">
        <v>3431</v>
      </c>
      <c r="D892" s="10" t="n">
        <v>2016</v>
      </c>
      <c r="E892" s="10" t="s">
        <v>3432</v>
      </c>
      <c r="F892" s="10" t="s">
        <v>3433</v>
      </c>
      <c r="G892" s="10" t="s">
        <v>2828</v>
      </c>
      <c r="H892" s="10" t="s">
        <v>335</v>
      </c>
      <c r="I892" s="10" t="s">
        <v>3434</v>
      </c>
    </row>
    <row r="893" customFormat="false" ht="39" hidden="false" customHeight="true" outlineLevel="0" collapsed="false">
      <c r="A893" s="9" t="s">
        <v>3435</v>
      </c>
      <c r="B893" s="9" t="s">
        <v>53</v>
      </c>
      <c r="C893" s="9" t="s">
        <v>52</v>
      </c>
      <c r="D893" s="9" t="n">
        <v>2016</v>
      </c>
      <c r="E893" s="9" t="s">
        <v>54</v>
      </c>
      <c r="F893" s="9" t="s">
        <v>55</v>
      </c>
      <c r="G893" s="9" t="s">
        <v>2828</v>
      </c>
      <c r="H893" s="9" t="s">
        <v>25</v>
      </c>
      <c r="I893" s="9" t="s">
        <v>3436</v>
      </c>
    </row>
    <row r="894" customFormat="false" ht="39" hidden="false" customHeight="true" outlineLevel="0" collapsed="false">
      <c r="A894" s="10" t="s">
        <v>3437</v>
      </c>
      <c r="B894" s="10" t="s">
        <v>3438</v>
      </c>
      <c r="C894" s="10" t="s">
        <v>45</v>
      </c>
      <c r="D894" s="10" t="n">
        <v>2016</v>
      </c>
      <c r="E894" s="10" t="s">
        <v>54</v>
      </c>
      <c r="F894" s="10" t="s">
        <v>47</v>
      </c>
      <c r="G894" s="10" t="s">
        <v>2828</v>
      </c>
      <c r="H894" s="10" t="s">
        <v>25</v>
      </c>
      <c r="I894" s="10" t="s">
        <v>2623</v>
      </c>
    </row>
    <row r="895" customFormat="false" ht="39" hidden="false" customHeight="true" outlineLevel="0" collapsed="false">
      <c r="A895" s="9" t="s">
        <v>3439</v>
      </c>
      <c r="B895" s="9" t="s">
        <v>3440</v>
      </c>
      <c r="C895" s="9" t="s">
        <v>2625</v>
      </c>
      <c r="D895" s="9" t="n">
        <v>2016</v>
      </c>
      <c r="E895" s="9" t="s">
        <v>3441</v>
      </c>
      <c r="F895" s="9" t="s">
        <v>2627</v>
      </c>
      <c r="G895" s="9" t="s">
        <v>2828</v>
      </c>
      <c r="H895" s="9" t="s">
        <v>25</v>
      </c>
      <c r="I895" s="9" t="s">
        <v>2628</v>
      </c>
    </row>
    <row r="896" customFormat="false" ht="51.75" hidden="false" customHeight="true" outlineLevel="0" collapsed="false">
      <c r="A896" s="10" t="s">
        <v>3442</v>
      </c>
      <c r="B896" s="10" t="s">
        <v>3443</v>
      </c>
      <c r="C896" s="10" t="s">
        <v>2660</v>
      </c>
      <c r="D896" s="10" t="n">
        <v>2016</v>
      </c>
      <c r="E896" s="10" t="s">
        <v>3167</v>
      </c>
      <c r="F896" s="10" t="s">
        <v>2661</v>
      </c>
      <c r="G896" s="10" t="s">
        <v>2828</v>
      </c>
      <c r="H896" s="10" t="s">
        <v>25</v>
      </c>
      <c r="I896" s="10" t="s">
        <v>2662</v>
      </c>
    </row>
    <row r="897" customFormat="false" ht="25.5" hidden="false" customHeight="true" outlineLevel="0" collapsed="false">
      <c r="A897" s="9" t="s">
        <v>3444</v>
      </c>
      <c r="B897" s="9" t="s">
        <v>3445</v>
      </c>
      <c r="C897" s="9" t="s">
        <v>30</v>
      </c>
      <c r="D897" s="9" t="n">
        <v>2016</v>
      </c>
      <c r="E897" s="9" t="s">
        <v>54</v>
      </c>
      <c r="F897" s="9" t="s">
        <v>33</v>
      </c>
      <c r="G897" s="9" t="s">
        <v>2828</v>
      </c>
      <c r="H897" s="9" t="s">
        <v>25</v>
      </c>
      <c r="I897" s="9" t="s">
        <v>2696</v>
      </c>
    </row>
    <row r="898" customFormat="false" ht="25.5" hidden="false" customHeight="true" outlineLevel="0" collapsed="false">
      <c r="A898" s="10" t="s">
        <v>3446</v>
      </c>
      <c r="B898" s="10" t="s">
        <v>3447</v>
      </c>
      <c r="C898" s="10" t="s">
        <v>2709</v>
      </c>
      <c r="D898" s="10" t="n">
        <v>2016</v>
      </c>
      <c r="E898" s="10" t="s">
        <v>70</v>
      </c>
      <c r="F898" s="10" t="s">
        <v>2710</v>
      </c>
      <c r="G898" s="10" t="s">
        <v>2828</v>
      </c>
      <c r="H898" s="10" t="s">
        <v>25</v>
      </c>
      <c r="I898" s="10" t="s">
        <v>2711</v>
      </c>
    </row>
    <row r="899" customFormat="false" ht="39" hidden="false" customHeight="true" outlineLevel="0" collapsed="false">
      <c r="A899" s="9" t="s">
        <v>3448</v>
      </c>
      <c r="B899" s="9" t="s">
        <v>3449</v>
      </c>
      <c r="C899" s="9" t="s">
        <v>3450</v>
      </c>
      <c r="D899" s="9" t="n">
        <v>2025</v>
      </c>
      <c r="E899" s="9" t="s">
        <v>3451</v>
      </c>
      <c r="F899" s="9" t="s">
        <v>3452</v>
      </c>
      <c r="G899" s="9" t="s">
        <v>3453</v>
      </c>
      <c r="H899" s="9" t="s">
        <v>25</v>
      </c>
      <c r="I899" s="9" t="s">
        <v>3454</v>
      </c>
    </row>
    <row r="900" customFormat="false" ht="39" hidden="false" customHeight="true" outlineLevel="0" collapsed="false">
      <c r="A900" s="10" t="s">
        <v>3455</v>
      </c>
      <c r="B900" s="10" t="s">
        <v>3456</v>
      </c>
      <c r="C900" s="10" t="s">
        <v>3457</v>
      </c>
      <c r="D900" s="10" t="n">
        <v>2018</v>
      </c>
      <c r="E900" s="10" t="s">
        <v>32</v>
      </c>
      <c r="F900" s="10" t="s">
        <v>3458</v>
      </c>
      <c r="G900" s="10" t="s">
        <v>3453</v>
      </c>
      <c r="H900" s="10" t="s">
        <v>25</v>
      </c>
      <c r="I900" s="10" t="s">
        <v>3459</v>
      </c>
    </row>
    <row r="901" customFormat="false" ht="63.75" hidden="false" customHeight="true" outlineLevel="0" collapsed="false">
      <c r="A901" s="26" t="s">
        <v>3460</v>
      </c>
      <c r="B901" s="26" t="s">
        <v>3461</v>
      </c>
      <c r="C901" s="26" t="s">
        <v>3462</v>
      </c>
      <c r="D901" s="26" t="n">
        <v>2025</v>
      </c>
      <c r="E901" s="26" t="s">
        <v>3463</v>
      </c>
      <c r="F901" s="26" t="s">
        <v>3464</v>
      </c>
      <c r="G901" s="26" t="s">
        <v>3465</v>
      </c>
      <c r="H901" s="26" t="s">
        <v>25</v>
      </c>
      <c r="I901" s="26" t="s">
        <v>3466</v>
      </c>
    </row>
    <row r="902" customFormat="false" ht="53.25" hidden="false" customHeight="true" outlineLevel="0" collapsed="false">
      <c r="A902" s="26" t="s">
        <v>3467</v>
      </c>
      <c r="B902" s="26" t="s">
        <v>3468</v>
      </c>
      <c r="C902" s="26" t="s">
        <v>664</v>
      </c>
      <c r="D902" s="26" t="n">
        <v>2026</v>
      </c>
      <c r="E902" s="26" t="s">
        <v>665</v>
      </c>
      <c r="F902" s="26" t="s">
        <v>666</v>
      </c>
      <c r="G902" s="26" t="s">
        <v>3465</v>
      </c>
      <c r="H902" s="26" t="s">
        <v>25</v>
      </c>
      <c r="I902" s="26" t="s">
        <v>3469</v>
      </c>
    </row>
    <row r="903" customFormat="false" ht="42.75" hidden="false" customHeight="true" outlineLevel="0" collapsed="false">
      <c r="A903" s="26" t="s">
        <v>3470</v>
      </c>
      <c r="B903" s="26" t="s">
        <v>3471</v>
      </c>
      <c r="C903" s="26" t="s">
        <v>915</v>
      </c>
      <c r="D903" s="26" t="n">
        <v>2025</v>
      </c>
      <c r="E903" s="26" t="s">
        <v>138</v>
      </c>
      <c r="F903" s="26" t="s">
        <v>916</v>
      </c>
      <c r="G903" s="26" t="s">
        <v>3465</v>
      </c>
      <c r="H903" s="26" t="s">
        <v>25</v>
      </c>
      <c r="I903" s="26" t="s">
        <v>3472</v>
      </c>
    </row>
    <row r="904" customFormat="false" ht="32.25" hidden="false" customHeight="true" outlineLevel="0" collapsed="false">
      <c r="A904" s="26" t="s">
        <v>3473</v>
      </c>
      <c r="B904" s="26" t="s">
        <v>3474</v>
      </c>
      <c r="C904" s="26" t="s">
        <v>3475</v>
      </c>
      <c r="D904" s="26" t="n">
        <v>2025</v>
      </c>
      <c r="E904" s="26" t="s">
        <v>3476</v>
      </c>
      <c r="F904" s="26" t="s">
        <v>3477</v>
      </c>
      <c r="G904" s="26" t="s">
        <v>3465</v>
      </c>
      <c r="H904" s="26" t="s">
        <v>25</v>
      </c>
      <c r="I904" s="26" t="s">
        <v>3478</v>
      </c>
    </row>
    <row r="905" customFormat="false" ht="42.75" hidden="false" customHeight="true" outlineLevel="0" collapsed="false">
      <c r="A905" s="26" t="s">
        <v>3479</v>
      </c>
      <c r="B905" s="26" t="s">
        <v>3480</v>
      </c>
      <c r="C905" s="26" t="s">
        <v>1198</v>
      </c>
      <c r="D905" s="26" t="n">
        <v>2024</v>
      </c>
      <c r="E905" s="26" t="s">
        <v>1199</v>
      </c>
      <c r="F905" s="26" t="s">
        <v>3481</v>
      </c>
      <c r="G905" s="26" t="s">
        <v>3465</v>
      </c>
      <c r="H905" s="26" t="s">
        <v>25</v>
      </c>
      <c r="I905" s="26" t="s">
        <v>3482</v>
      </c>
    </row>
    <row r="906" customFormat="false" ht="53.25" hidden="false" customHeight="true" outlineLevel="0" collapsed="false">
      <c r="A906" s="26" t="s">
        <v>3483</v>
      </c>
      <c r="B906" s="26" t="s">
        <v>3484</v>
      </c>
      <c r="C906" s="26" t="s">
        <v>1393</v>
      </c>
      <c r="D906" s="26" t="n">
        <v>2023</v>
      </c>
      <c r="E906" s="26" t="s">
        <v>1394</v>
      </c>
      <c r="F906" s="26" t="s">
        <v>1395</v>
      </c>
      <c r="G906" s="26" t="s">
        <v>3465</v>
      </c>
      <c r="H906" s="26" t="s">
        <v>25</v>
      </c>
      <c r="I906" s="26" t="s">
        <v>3485</v>
      </c>
    </row>
    <row r="907" customFormat="false" ht="42.75" hidden="false" customHeight="true" outlineLevel="0" collapsed="false">
      <c r="A907" s="26" t="s">
        <v>3486</v>
      </c>
      <c r="B907" s="26" t="s">
        <v>3487</v>
      </c>
      <c r="C907" s="26" t="s">
        <v>1169</v>
      </c>
      <c r="D907" s="26" t="n">
        <v>2024</v>
      </c>
      <c r="E907" s="26" t="s">
        <v>1170</v>
      </c>
      <c r="F907" s="26" t="s">
        <v>1171</v>
      </c>
      <c r="G907" s="26" t="s">
        <v>3465</v>
      </c>
      <c r="H907" s="26" t="s">
        <v>25</v>
      </c>
      <c r="I907" s="26" t="s">
        <v>3488</v>
      </c>
    </row>
    <row r="908" customFormat="false" ht="53.25" hidden="false" customHeight="true" outlineLevel="0" collapsed="false">
      <c r="A908" s="26" t="s">
        <v>3489</v>
      </c>
      <c r="B908" s="26" t="s">
        <v>3490</v>
      </c>
      <c r="C908" s="26" t="s">
        <v>3450</v>
      </c>
      <c r="D908" s="26" t="n">
        <v>2025</v>
      </c>
      <c r="E908" s="26" t="s">
        <v>3451</v>
      </c>
      <c r="F908" s="26" t="s">
        <v>3452</v>
      </c>
      <c r="G908" s="26" t="s">
        <v>3465</v>
      </c>
      <c r="H908" s="26" t="s">
        <v>25</v>
      </c>
      <c r="I908" s="26" t="s">
        <v>3491</v>
      </c>
    </row>
    <row r="909" customFormat="false" ht="42.75" hidden="false" customHeight="true" outlineLevel="0" collapsed="false">
      <c r="A909" s="26" t="s">
        <v>3492</v>
      </c>
      <c r="B909" s="26" t="s">
        <v>3493</v>
      </c>
      <c r="C909" s="26" t="s">
        <v>56</v>
      </c>
      <c r="D909" s="26" t="n">
        <v>2025</v>
      </c>
      <c r="E909" s="26" t="s">
        <v>58</v>
      </c>
      <c r="F909" s="26" t="s">
        <v>59</v>
      </c>
      <c r="G909" s="26" t="s">
        <v>3465</v>
      </c>
      <c r="H909" s="26" t="s">
        <v>25</v>
      </c>
      <c r="I909" s="26" t="s">
        <v>3494</v>
      </c>
    </row>
    <row r="910" customFormat="false" ht="53.25" hidden="false" customHeight="true" outlineLevel="0" collapsed="false">
      <c r="A910" s="26" t="s">
        <v>3495</v>
      </c>
      <c r="B910" s="26" t="s">
        <v>3496</v>
      </c>
      <c r="C910" s="26" t="s">
        <v>220</v>
      </c>
      <c r="D910" s="26" t="n">
        <v>2020</v>
      </c>
      <c r="E910" s="26" t="s">
        <v>155</v>
      </c>
      <c r="F910" s="26" t="s">
        <v>222</v>
      </c>
      <c r="G910" s="26" t="s">
        <v>3465</v>
      </c>
      <c r="H910" s="26" t="s">
        <v>25</v>
      </c>
      <c r="I910" s="26" t="s">
        <v>3497</v>
      </c>
    </row>
    <row r="911" customFormat="false" ht="42.75" hidden="false" customHeight="true" outlineLevel="0" collapsed="false">
      <c r="A911" s="26" t="s">
        <v>3498</v>
      </c>
      <c r="B911" s="26" t="s">
        <v>3499</v>
      </c>
      <c r="C911" s="26" t="s">
        <v>2832</v>
      </c>
      <c r="D911" s="26" t="n">
        <v>2026</v>
      </c>
      <c r="E911" s="26" t="s">
        <v>1333</v>
      </c>
      <c r="F911" s="26"/>
      <c r="G911" s="26" t="s">
        <v>3465</v>
      </c>
      <c r="H911" s="26" t="s">
        <v>25</v>
      </c>
      <c r="I911" s="26" t="s">
        <v>3500</v>
      </c>
    </row>
    <row r="912" customFormat="false" ht="32.25" hidden="false" customHeight="true" outlineLevel="0" collapsed="false">
      <c r="A912" s="26" t="s">
        <v>3501</v>
      </c>
      <c r="B912" s="26" t="s">
        <v>3502</v>
      </c>
      <c r="C912" s="26" t="s">
        <v>3503</v>
      </c>
      <c r="D912" s="26" t="n">
        <v>2025</v>
      </c>
      <c r="E912" s="26" t="s">
        <v>3504</v>
      </c>
      <c r="F912" s="26" t="s">
        <v>3505</v>
      </c>
      <c r="G912" s="26" t="s">
        <v>3465</v>
      </c>
      <c r="H912" s="26" t="s">
        <v>335</v>
      </c>
      <c r="I912" s="26" t="s">
        <v>3506</v>
      </c>
    </row>
    <row r="913" customFormat="false" ht="42.75" hidden="false" customHeight="true" outlineLevel="0" collapsed="false">
      <c r="A913" s="26" t="s">
        <v>3507</v>
      </c>
      <c r="B913" s="26" t="s">
        <v>3508</v>
      </c>
      <c r="C913" s="26" t="s">
        <v>3206</v>
      </c>
      <c r="D913" s="26" t="n">
        <v>2020</v>
      </c>
      <c r="E913" s="26" t="s">
        <v>3509</v>
      </c>
      <c r="F913" s="26" t="s">
        <v>1958</v>
      </c>
      <c r="G913" s="26" t="s">
        <v>3465</v>
      </c>
      <c r="H913" s="26" t="s">
        <v>25</v>
      </c>
      <c r="I913" s="26" t="s">
        <v>3510</v>
      </c>
    </row>
    <row r="914" customFormat="false" ht="42.75" hidden="false" customHeight="true" outlineLevel="0" collapsed="false">
      <c r="A914" s="26" t="s">
        <v>3511</v>
      </c>
      <c r="B914" s="26" t="s">
        <v>3512</v>
      </c>
      <c r="C914" s="26" t="s">
        <v>301</v>
      </c>
      <c r="D914" s="26" t="n">
        <v>2022</v>
      </c>
      <c r="E914" s="26" t="s">
        <v>155</v>
      </c>
      <c r="F914" s="26" t="s">
        <v>303</v>
      </c>
      <c r="G914" s="26" t="s">
        <v>3465</v>
      </c>
      <c r="H914" s="26" t="s">
        <v>25</v>
      </c>
      <c r="I914" s="26" t="s">
        <v>3513</v>
      </c>
    </row>
    <row r="915" customFormat="false" ht="21.75" hidden="false" customHeight="true" outlineLevel="0" collapsed="false">
      <c r="A915" s="26" t="s">
        <v>3514</v>
      </c>
      <c r="B915" s="26" t="s">
        <v>203</v>
      </c>
      <c r="C915" s="26" t="s">
        <v>202</v>
      </c>
      <c r="D915" s="26" t="n">
        <v>2023</v>
      </c>
      <c r="E915" s="26" t="s">
        <v>204</v>
      </c>
      <c r="F915" s="26" t="s">
        <v>205</v>
      </c>
      <c r="G915" s="26" t="s">
        <v>3465</v>
      </c>
      <c r="H915" s="26" t="s">
        <v>25</v>
      </c>
      <c r="I915" s="26" t="s">
        <v>3515</v>
      </c>
    </row>
    <row r="916" customFormat="false" ht="32.25" hidden="false" customHeight="true" outlineLevel="0" collapsed="false">
      <c r="A916" s="26" t="s">
        <v>3516</v>
      </c>
      <c r="B916" s="26" t="s">
        <v>3517</v>
      </c>
      <c r="C916" s="26" t="s">
        <v>3518</v>
      </c>
      <c r="D916" s="26" t="n">
        <v>2026</v>
      </c>
      <c r="E916" s="26" t="s">
        <v>3519</v>
      </c>
      <c r="F916" s="26" t="s">
        <v>3520</v>
      </c>
      <c r="G916" s="26" t="s">
        <v>3465</v>
      </c>
      <c r="H916" s="26" t="s">
        <v>25</v>
      </c>
      <c r="I916" s="26" t="s">
        <v>3521</v>
      </c>
    </row>
    <row r="917" customFormat="false" ht="21.75" hidden="false" customHeight="true" outlineLevel="0" collapsed="false">
      <c r="A917" s="26" t="s">
        <v>3522</v>
      </c>
      <c r="B917" s="26" t="s">
        <v>3523</v>
      </c>
      <c r="C917" s="26" t="s">
        <v>3524</v>
      </c>
      <c r="D917" s="26" t="n">
        <v>2026</v>
      </c>
      <c r="E917" s="26" t="s">
        <v>3525</v>
      </c>
      <c r="F917" s="26" t="s">
        <v>3526</v>
      </c>
      <c r="G917" s="26" t="s">
        <v>3465</v>
      </c>
      <c r="H917" s="26" t="s">
        <v>25</v>
      </c>
      <c r="I917" s="26" t="s">
        <v>3527</v>
      </c>
    </row>
    <row r="918" customFormat="false" ht="53.25" hidden="false" customHeight="true" outlineLevel="0" collapsed="false">
      <c r="A918" s="26" t="s">
        <v>3528</v>
      </c>
      <c r="B918" s="26" t="s">
        <v>3529</v>
      </c>
      <c r="C918" s="26" t="s">
        <v>2948</v>
      </c>
      <c r="D918" s="26" t="n">
        <v>2025</v>
      </c>
      <c r="E918" s="26" t="s">
        <v>130</v>
      </c>
      <c r="F918" s="26" t="s">
        <v>3530</v>
      </c>
      <c r="G918" s="26" t="s">
        <v>3465</v>
      </c>
      <c r="H918" s="26" t="s">
        <v>25</v>
      </c>
      <c r="I918" s="26" t="s">
        <v>3531</v>
      </c>
    </row>
    <row r="919" customFormat="false" ht="32.25" hidden="false" customHeight="true" outlineLevel="0" collapsed="false">
      <c r="A919" s="26" t="s">
        <v>3532</v>
      </c>
      <c r="B919" s="26" t="s">
        <v>3533</v>
      </c>
      <c r="C919" s="26" t="s">
        <v>3534</v>
      </c>
      <c r="D919" s="26" t="n">
        <v>2025</v>
      </c>
      <c r="E919" s="26" t="s">
        <v>3519</v>
      </c>
      <c r="F919" s="26" t="s">
        <v>3535</v>
      </c>
      <c r="G919" s="26" t="s">
        <v>3465</v>
      </c>
      <c r="H919" s="26" t="s">
        <v>25</v>
      </c>
      <c r="I919" s="26" t="s">
        <v>3536</v>
      </c>
    </row>
    <row r="920" customFormat="false" ht="42.75" hidden="false" customHeight="true" outlineLevel="0" collapsed="false">
      <c r="A920" s="26" t="s">
        <v>3537</v>
      </c>
      <c r="B920" s="26" t="s">
        <v>3538</v>
      </c>
      <c r="C920" s="26" t="s">
        <v>3539</v>
      </c>
      <c r="D920" s="26" t="n">
        <v>2026</v>
      </c>
      <c r="E920" s="26" t="s">
        <v>717</v>
      </c>
      <c r="F920" s="26" t="s">
        <v>3540</v>
      </c>
      <c r="G920" s="26" t="s">
        <v>3465</v>
      </c>
      <c r="H920" s="26" t="s">
        <v>25</v>
      </c>
      <c r="I920" s="26" t="s">
        <v>3541</v>
      </c>
    </row>
    <row r="921" customFormat="false" ht="42.75" hidden="false" customHeight="true" outlineLevel="0" collapsed="false">
      <c r="A921" s="26" t="s">
        <v>3542</v>
      </c>
      <c r="B921" s="26" t="s">
        <v>3543</v>
      </c>
      <c r="C921" s="26" t="s">
        <v>659</v>
      </c>
      <c r="D921" s="26" t="n">
        <v>2026</v>
      </c>
      <c r="E921" s="26" t="s">
        <v>208</v>
      </c>
      <c r="F921" s="26" t="s">
        <v>660</v>
      </c>
      <c r="G921" s="26" t="s">
        <v>3465</v>
      </c>
      <c r="H921" s="26" t="s">
        <v>25</v>
      </c>
      <c r="I921" s="26" t="s">
        <v>3544</v>
      </c>
    </row>
    <row r="922" customFormat="false" ht="42.75" hidden="false" customHeight="true" outlineLevel="0" collapsed="false">
      <c r="A922" s="26" t="s">
        <v>3545</v>
      </c>
      <c r="B922" s="26" t="s">
        <v>3546</v>
      </c>
      <c r="C922" s="26" t="s">
        <v>3547</v>
      </c>
      <c r="D922" s="26" t="n">
        <v>2017</v>
      </c>
      <c r="E922" s="26" t="s">
        <v>3548</v>
      </c>
      <c r="F922" s="26" t="s">
        <v>3549</v>
      </c>
      <c r="G922" s="26" t="s">
        <v>3465</v>
      </c>
      <c r="H922" s="26" t="s">
        <v>25</v>
      </c>
      <c r="I922" s="26" t="s">
        <v>3550</v>
      </c>
    </row>
    <row r="923" customFormat="false" ht="53.25" hidden="false" customHeight="true" outlineLevel="0" collapsed="false">
      <c r="A923" s="26" t="s">
        <v>3551</v>
      </c>
      <c r="B923" s="26" t="s">
        <v>3552</v>
      </c>
      <c r="C923" s="26" t="s">
        <v>304</v>
      </c>
      <c r="D923" s="26" t="n">
        <v>2022</v>
      </c>
      <c r="E923" s="26" t="s">
        <v>3553</v>
      </c>
      <c r="F923" s="26" t="s">
        <v>307</v>
      </c>
      <c r="G923" s="26" t="s">
        <v>3465</v>
      </c>
      <c r="H923" s="26" t="s">
        <v>25</v>
      </c>
      <c r="I923" s="26" t="s">
        <v>3554</v>
      </c>
    </row>
    <row r="924" customFormat="false" ht="53.25" hidden="false" customHeight="true" outlineLevel="0" collapsed="false">
      <c r="A924" s="26" t="s">
        <v>3555</v>
      </c>
      <c r="B924" s="26" t="s">
        <v>3556</v>
      </c>
      <c r="C924" s="26" t="s">
        <v>3557</v>
      </c>
      <c r="D924" s="26" t="n">
        <v>2025</v>
      </c>
      <c r="E924" s="26" t="s">
        <v>3558</v>
      </c>
      <c r="F924" s="26" t="s">
        <v>3559</v>
      </c>
      <c r="G924" s="26" t="s">
        <v>3465</v>
      </c>
      <c r="H924" s="26" t="s">
        <v>25</v>
      </c>
      <c r="I924" s="26" t="s">
        <v>3560</v>
      </c>
    </row>
    <row r="925" customFormat="false" ht="42.75" hidden="false" customHeight="true" outlineLevel="0" collapsed="false">
      <c r="A925" s="26" t="s">
        <v>3561</v>
      </c>
      <c r="B925" s="26" t="s">
        <v>3562</v>
      </c>
      <c r="C925" s="26" t="s">
        <v>1287</v>
      </c>
      <c r="D925" s="26" t="n">
        <v>2023</v>
      </c>
      <c r="E925" s="26" t="s">
        <v>130</v>
      </c>
      <c r="F925" s="26" t="s">
        <v>3563</v>
      </c>
      <c r="G925" s="26" t="s">
        <v>3465</v>
      </c>
      <c r="H925" s="26" t="s">
        <v>25</v>
      </c>
      <c r="I925" s="26" t="s">
        <v>3564</v>
      </c>
    </row>
    <row r="926" customFormat="false" ht="74.25" hidden="false" customHeight="true" outlineLevel="0" collapsed="false">
      <c r="A926" s="26" t="s">
        <v>3565</v>
      </c>
      <c r="B926" s="26" t="s">
        <v>3566</v>
      </c>
      <c r="C926" s="26" t="s">
        <v>3098</v>
      </c>
      <c r="D926" s="26" t="n">
        <v>2022</v>
      </c>
      <c r="E926" s="26" t="s">
        <v>130</v>
      </c>
      <c r="F926" s="26" t="s">
        <v>3567</v>
      </c>
      <c r="G926" s="26" t="s">
        <v>3465</v>
      </c>
      <c r="H926" s="26" t="s">
        <v>25</v>
      </c>
      <c r="I926" s="26" t="s">
        <v>3568</v>
      </c>
    </row>
    <row r="927" customFormat="false" ht="42.75" hidden="false" customHeight="true" outlineLevel="0" collapsed="false">
      <c r="A927" s="26" t="s">
        <v>3569</v>
      </c>
      <c r="B927" s="26" t="s">
        <v>3570</v>
      </c>
      <c r="C927" s="26" t="s">
        <v>716</v>
      </c>
      <c r="D927" s="26" t="n">
        <v>2026</v>
      </c>
      <c r="E927" s="26" t="s">
        <v>717</v>
      </c>
      <c r="F927" s="26" t="s">
        <v>718</v>
      </c>
      <c r="G927" s="26" t="s">
        <v>3465</v>
      </c>
      <c r="H927" s="26" t="s">
        <v>25</v>
      </c>
      <c r="I927" s="26" t="s">
        <v>3571</v>
      </c>
    </row>
    <row r="928" customFormat="false" ht="42.75" hidden="false" customHeight="true" outlineLevel="0" collapsed="false">
      <c r="A928" s="26" t="s">
        <v>3572</v>
      </c>
      <c r="B928" s="26" t="s">
        <v>3573</v>
      </c>
      <c r="C928" s="26" t="s">
        <v>3116</v>
      </c>
      <c r="D928" s="26" t="n">
        <v>2020</v>
      </c>
      <c r="E928" s="26" t="s">
        <v>3574</v>
      </c>
      <c r="F928" s="26" t="s">
        <v>3575</v>
      </c>
      <c r="G928" s="26" t="s">
        <v>3465</v>
      </c>
      <c r="H928" s="26" t="s">
        <v>25</v>
      </c>
      <c r="I928" s="26" t="s">
        <v>3576</v>
      </c>
    </row>
    <row r="929" customFormat="false" ht="21.75" hidden="false" customHeight="true" outlineLevel="0" collapsed="false">
      <c r="A929" s="26" t="s">
        <v>3577</v>
      </c>
      <c r="B929" s="26" t="s">
        <v>3578</v>
      </c>
      <c r="C929" s="26" t="s">
        <v>3579</v>
      </c>
      <c r="D929" s="26" t="n">
        <v>2023</v>
      </c>
      <c r="E929" s="26" t="s">
        <v>3580</v>
      </c>
      <c r="F929" s="26" t="s">
        <v>3581</v>
      </c>
      <c r="G929" s="26" t="s">
        <v>3465</v>
      </c>
      <c r="H929" s="26" t="s">
        <v>25</v>
      </c>
      <c r="I929" s="26" t="s">
        <v>3582</v>
      </c>
    </row>
    <row r="930" customFormat="false" ht="63.75" hidden="false" customHeight="true" outlineLevel="0" collapsed="false">
      <c r="A930" s="26" t="s">
        <v>3583</v>
      </c>
      <c r="B930" s="26" t="s">
        <v>3584</v>
      </c>
      <c r="C930" s="26" t="s">
        <v>179</v>
      </c>
      <c r="D930" s="26" t="n">
        <v>2022</v>
      </c>
      <c r="E930" s="26" t="s">
        <v>166</v>
      </c>
      <c r="F930" s="26" t="s">
        <v>181</v>
      </c>
      <c r="G930" s="26" t="s">
        <v>3465</v>
      </c>
      <c r="H930" s="26" t="s">
        <v>25</v>
      </c>
      <c r="I930" s="26" t="s">
        <v>3585</v>
      </c>
    </row>
    <row r="931" customFormat="false" ht="42.75" hidden="false" customHeight="true" outlineLevel="0" collapsed="false">
      <c r="A931" s="26" t="s">
        <v>3586</v>
      </c>
      <c r="B931" s="26" t="s">
        <v>3587</v>
      </c>
      <c r="C931" s="26" t="s">
        <v>200</v>
      </c>
      <c r="D931" s="26" t="n">
        <v>2021</v>
      </c>
      <c r="E931" s="26" t="s">
        <v>3588</v>
      </c>
      <c r="F931" s="26" t="s">
        <v>201</v>
      </c>
      <c r="G931" s="26" t="s">
        <v>3465</v>
      </c>
      <c r="H931" s="26" t="s">
        <v>25</v>
      </c>
      <c r="I931" s="26" t="s">
        <v>3589</v>
      </c>
    </row>
    <row r="932" customFormat="false" ht="42.75" hidden="false" customHeight="true" outlineLevel="0" collapsed="false">
      <c r="A932" s="26" t="s">
        <v>3590</v>
      </c>
      <c r="B932" s="26" t="s">
        <v>3591</v>
      </c>
      <c r="C932" s="26" t="s">
        <v>3277</v>
      </c>
      <c r="D932" s="26" t="n">
        <v>2019</v>
      </c>
      <c r="E932" s="26" t="s">
        <v>3592</v>
      </c>
      <c r="F932" s="26" t="s">
        <v>2107</v>
      </c>
      <c r="G932" s="26" t="s">
        <v>3465</v>
      </c>
      <c r="H932" s="26" t="s">
        <v>25</v>
      </c>
      <c r="I932" s="26" t="s">
        <v>3593</v>
      </c>
    </row>
    <row r="933" customFormat="false" ht="32.25" hidden="false" customHeight="true" outlineLevel="0" collapsed="false">
      <c r="A933" s="26" t="s">
        <v>3594</v>
      </c>
      <c r="B933" s="26" t="s">
        <v>3595</v>
      </c>
      <c r="C933" s="26" t="s">
        <v>3596</v>
      </c>
      <c r="D933" s="26" t="n">
        <v>2019</v>
      </c>
      <c r="E933" s="26" t="s">
        <v>32</v>
      </c>
      <c r="F933" s="26" t="s">
        <v>3597</v>
      </c>
      <c r="G933" s="26" t="s">
        <v>3465</v>
      </c>
      <c r="H933" s="26" t="s">
        <v>25</v>
      </c>
      <c r="I933" s="26" t="s">
        <v>3598</v>
      </c>
    </row>
    <row r="934" customFormat="false" ht="32.25" hidden="false" customHeight="true" outlineLevel="0" collapsed="false">
      <c r="A934" s="26" t="s">
        <v>3599</v>
      </c>
      <c r="B934" s="26" t="s">
        <v>129</v>
      </c>
      <c r="C934" s="26" t="s">
        <v>128</v>
      </c>
      <c r="D934" s="26" t="n">
        <v>2017</v>
      </c>
      <c r="E934" s="26" t="s">
        <v>130</v>
      </c>
      <c r="F934" s="26" t="s">
        <v>131</v>
      </c>
      <c r="G934" s="26" t="s">
        <v>3465</v>
      </c>
      <c r="H934" s="26" t="s">
        <v>25</v>
      </c>
      <c r="I934" s="26" t="s">
        <v>3600</v>
      </c>
    </row>
    <row r="935" customFormat="false" ht="53.25" hidden="false" customHeight="true" outlineLevel="0" collapsed="false">
      <c r="A935" s="26" t="s">
        <v>3601</v>
      </c>
      <c r="B935" s="26" t="s">
        <v>3602</v>
      </c>
      <c r="C935" s="26" t="s">
        <v>3603</v>
      </c>
      <c r="D935" s="26" t="n">
        <v>2018</v>
      </c>
      <c r="E935" s="26" t="s">
        <v>130</v>
      </c>
      <c r="F935" s="26" t="s">
        <v>3604</v>
      </c>
      <c r="G935" s="26" t="s">
        <v>3465</v>
      </c>
      <c r="H935" s="26" t="s">
        <v>25</v>
      </c>
      <c r="I935" s="26" t="s">
        <v>3605</v>
      </c>
    </row>
    <row r="936" customFormat="false" ht="53.25" hidden="false" customHeight="true" outlineLevel="0" collapsed="false">
      <c r="A936" s="26" t="s">
        <v>3606</v>
      </c>
      <c r="B936" s="26" t="s">
        <v>3607</v>
      </c>
      <c r="C936" s="26" t="s">
        <v>3608</v>
      </c>
      <c r="D936" s="26" t="n">
        <v>2025</v>
      </c>
      <c r="E936" s="26" t="s">
        <v>1234</v>
      </c>
      <c r="F936" s="26" t="s">
        <v>3609</v>
      </c>
      <c r="G936" s="26" t="s">
        <v>3465</v>
      </c>
      <c r="H936" s="26" t="s">
        <v>25</v>
      </c>
      <c r="I936" s="26" t="s">
        <v>3610</v>
      </c>
    </row>
    <row r="937" customFormat="false" ht="42.75" hidden="false" customHeight="true" outlineLevel="0" collapsed="false">
      <c r="A937" s="26" t="s">
        <v>3611</v>
      </c>
      <c r="B937" s="26" t="s">
        <v>3612</v>
      </c>
      <c r="C937" s="26" t="s">
        <v>1944</v>
      </c>
      <c r="D937" s="26" t="n">
        <v>2020</v>
      </c>
      <c r="E937" s="26" t="s">
        <v>1945</v>
      </c>
      <c r="F937" s="26" t="s">
        <v>1946</v>
      </c>
      <c r="G937" s="26" t="s">
        <v>3465</v>
      </c>
      <c r="H937" s="26" t="s">
        <v>335</v>
      </c>
      <c r="I937" s="26" t="s">
        <v>3613</v>
      </c>
    </row>
    <row r="938" customFormat="false" ht="53.25" hidden="false" customHeight="true" outlineLevel="0" collapsed="false">
      <c r="A938" s="26" t="s">
        <v>3614</v>
      </c>
      <c r="B938" s="26" t="s">
        <v>3615</v>
      </c>
      <c r="C938" s="26" t="s">
        <v>150</v>
      </c>
      <c r="D938" s="26" t="n">
        <v>2018</v>
      </c>
      <c r="E938" s="26" t="s">
        <v>32</v>
      </c>
      <c r="F938" s="26" t="s">
        <v>152</v>
      </c>
      <c r="G938" s="26" t="s">
        <v>3465</v>
      </c>
      <c r="H938" s="26" t="s">
        <v>25</v>
      </c>
      <c r="I938" s="26" t="s">
        <v>3616</v>
      </c>
    </row>
    <row r="939" customFormat="false" ht="53.25" hidden="false" customHeight="true" outlineLevel="0" collapsed="false">
      <c r="A939" s="26" t="s">
        <v>3617</v>
      </c>
      <c r="B939" s="26" t="s">
        <v>3618</v>
      </c>
      <c r="C939" s="26" t="s">
        <v>1548</v>
      </c>
      <c r="D939" s="26" t="n">
        <v>2022</v>
      </c>
      <c r="E939" s="26" t="s">
        <v>166</v>
      </c>
      <c r="F939" s="26" t="s">
        <v>1549</v>
      </c>
      <c r="G939" s="26" t="s">
        <v>3465</v>
      </c>
      <c r="H939" s="26" t="s">
        <v>25</v>
      </c>
      <c r="I939" s="26" t="s">
        <v>3619</v>
      </c>
    </row>
    <row r="940" customFormat="false" ht="42.75" hidden="false" customHeight="true" outlineLevel="0" collapsed="false">
      <c r="A940" s="26" t="s">
        <v>3620</v>
      </c>
      <c r="B940" s="26" t="s">
        <v>3621</v>
      </c>
      <c r="C940" s="26" t="s">
        <v>2149</v>
      </c>
      <c r="D940" s="26" t="n">
        <v>2019</v>
      </c>
      <c r="E940" s="26" t="s">
        <v>32</v>
      </c>
      <c r="F940" s="26" t="s">
        <v>2150</v>
      </c>
      <c r="G940" s="26" t="s">
        <v>3465</v>
      </c>
      <c r="H940" s="26" t="s">
        <v>25</v>
      </c>
      <c r="I940" s="26" t="s">
        <v>3622</v>
      </c>
    </row>
    <row r="941" customFormat="false" ht="53.25" hidden="false" customHeight="true" outlineLevel="0" collapsed="false">
      <c r="A941" s="26" t="s">
        <v>3623</v>
      </c>
      <c r="B941" s="26" t="s">
        <v>3624</v>
      </c>
      <c r="C941" s="26" t="s">
        <v>1870</v>
      </c>
      <c r="D941" s="26" t="n">
        <v>2019</v>
      </c>
      <c r="E941" s="26" t="s">
        <v>3625</v>
      </c>
      <c r="F941" s="26" t="s">
        <v>3626</v>
      </c>
      <c r="G941" s="26" t="s">
        <v>3465</v>
      </c>
      <c r="H941" s="26" t="s">
        <v>25</v>
      </c>
      <c r="I941" s="26" t="s">
        <v>3627</v>
      </c>
    </row>
    <row r="942" customFormat="false" ht="42.75" hidden="false" customHeight="true" outlineLevel="0" collapsed="false">
      <c r="A942" s="26" t="s">
        <v>3628</v>
      </c>
      <c r="B942" s="26" t="s">
        <v>3629</v>
      </c>
      <c r="C942" s="26" t="s">
        <v>1543</v>
      </c>
      <c r="D942" s="26" t="n">
        <v>2022</v>
      </c>
      <c r="E942" s="26" t="s">
        <v>32</v>
      </c>
      <c r="F942" s="26" t="s">
        <v>1544</v>
      </c>
      <c r="G942" s="26" t="s">
        <v>3465</v>
      </c>
      <c r="H942" s="26" t="s">
        <v>25</v>
      </c>
      <c r="I942" s="26" t="s">
        <v>3630</v>
      </c>
    </row>
    <row r="943" customFormat="false" ht="42.75" hidden="false" customHeight="true" outlineLevel="0" collapsed="false">
      <c r="A943" s="26" t="s">
        <v>3631</v>
      </c>
      <c r="B943" s="26" t="s">
        <v>3632</v>
      </c>
      <c r="C943" s="26" t="s">
        <v>3633</v>
      </c>
      <c r="D943" s="26" t="n">
        <v>2024</v>
      </c>
      <c r="E943" s="26" t="s">
        <v>986</v>
      </c>
      <c r="F943" s="26" t="s">
        <v>987</v>
      </c>
      <c r="G943" s="26" t="s">
        <v>3465</v>
      </c>
      <c r="H943" s="26" t="s">
        <v>335</v>
      </c>
      <c r="I943" s="26" t="s">
        <v>3634</v>
      </c>
    </row>
    <row r="944" customFormat="false" ht="42.75" hidden="false" customHeight="true" outlineLevel="0" collapsed="false">
      <c r="A944" s="26" t="s">
        <v>3635</v>
      </c>
      <c r="B944" s="26" t="s">
        <v>3636</v>
      </c>
      <c r="C944" s="26" t="s">
        <v>2290</v>
      </c>
      <c r="D944" s="26" t="n">
        <v>2018</v>
      </c>
      <c r="E944" s="26" t="s">
        <v>3592</v>
      </c>
      <c r="F944" s="26" t="s">
        <v>2291</v>
      </c>
      <c r="G944" s="26" t="s">
        <v>3465</v>
      </c>
      <c r="H944" s="26" t="s">
        <v>25</v>
      </c>
      <c r="I944" s="26" t="s">
        <v>3637</v>
      </c>
    </row>
    <row r="945" customFormat="false" ht="42.75" hidden="false" customHeight="true" outlineLevel="0" collapsed="false">
      <c r="A945" s="26" t="s">
        <v>3638</v>
      </c>
      <c r="B945" s="26" t="s">
        <v>3639</v>
      </c>
      <c r="C945" s="26" t="s">
        <v>1891</v>
      </c>
      <c r="D945" s="26" t="n">
        <v>2020</v>
      </c>
      <c r="E945" s="26" t="s">
        <v>32</v>
      </c>
      <c r="F945" s="26" t="s">
        <v>1892</v>
      </c>
      <c r="G945" s="26" t="s">
        <v>3465</v>
      </c>
      <c r="H945" s="26" t="s">
        <v>25</v>
      </c>
      <c r="I945" s="26" t="s">
        <v>3640</v>
      </c>
    </row>
    <row r="946" customFormat="false" ht="42.75" hidden="false" customHeight="true" outlineLevel="0" collapsed="false">
      <c r="A946" s="26" t="s">
        <v>3641</v>
      </c>
      <c r="B946" s="26" t="s">
        <v>3642</v>
      </c>
      <c r="C946" s="26" t="s">
        <v>1623</v>
      </c>
      <c r="D946" s="26" t="n">
        <v>2022</v>
      </c>
      <c r="E946" s="26" t="s">
        <v>32</v>
      </c>
      <c r="F946" s="26" t="s">
        <v>1624</v>
      </c>
      <c r="G946" s="26" t="s">
        <v>3465</v>
      </c>
      <c r="H946" s="26" t="s">
        <v>25</v>
      </c>
      <c r="I946" s="26" t="s">
        <v>3643</v>
      </c>
    </row>
    <row r="947" customFormat="false" ht="42.75" hidden="false" customHeight="true" outlineLevel="0" collapsed="false">
      <c r="A947" s="26" t="s">
        <v>3644</v>
      </c>
      <c r="B947" s="26" t="s">
        <v>3645</v>
      </c>
      <c r="C947" s="26" t="s">
        <v>3646</v>
      </c>
      <c r="D947" s="26" t="n">
        <v>2023</v>
      </c>
      <c r="E947" s="26" t="s">
        <v>3519</v>
      </c>
      <c r="F947" s="26" t="s">
        <v>3647</v>
      </c>
      <c r="G947" s="26" t="s">
        <v>3465</v>
      </c>
      <c r="H947" s="26" t="s">
        <v>25</v>
      </c>
      <c r="I947" s="26" t="s">
        <v>3648</v>
      </c>
    </row>
    <row r="948" customFormat="false" ht="42.75" hidden="false" customHeight="true" outlineLevel="0" collapsed="false">
      <c r="A948" s="26" t="s">
        <v>3649</v>
      </c>
      <c r="B948" s="26" t="s">
        <v>3650</v>
      </c>
      <c r="C948" s="26" t="s">
        <v>3336</v>
      </c>
      <c r="D948" s="26" t="n">
        <v>2018</v>
      </c>
      <c r="E948" s="26" t="s">
        <v>50</v>
      </c>
      <c r="F948" s="26" t="s">
        <v>2249</v>
      </c>
      <c r="G948" s="26" t="s">
        <v>3465</v>
      </c>
      <c r="H948" s="26" t="s">
        <v>25</v>
      </c>
      <c r="I948" s="26" t="s">
        <v>3651</v>
      </c>
    </row>
    <row r="949" customFormat="false" ht="42.75" hidden="false" customHeight="true" outlineLevel="0" collapsed="false">
      <c r="A949" s="26" t="s">
        <v>3652</v>
      </c>
      <c r="B949" s="26" t="s">
        <v>2252</v>
      </c>
      <c r="C949" s="26" t="s">
        <v>2253</v>
      </c>
      <c r="D949" s="26" t="n">
        <v>2018</v>
      </c>
      <c r="E949" s="26" t="s">
        <v>2254</v>
      </c>
      <c r="F949" s="26" t="s">
        <v>2255</v>
      </c>
      <c r="G949" s="26" t="s">
        <v>3465</v>
      </c>
      <c r="H949" s="26" t="s">
        <v>25</v>
      </c>
      <c r="I949" s="26" t="s">
        <v>3653</v>
      </c>
    </row>
    <row r="950" customFormat="false" ht="53.25" hidden="false" customHeight="true" outlineLevel="0" collapsed="false">
      <c r="A950" s="26" t="s">
        <v>3654</v>
      </c>
      <c r="B950" s="26" t="s">
        <v>3655</v>
      </c>
      <c r="C950" s="26" t="s">
        <v>1930</v>
      </c>
      <c r="D950" s="26" t="n">
        <v>2020</v>
      </c>
      <c r="E950" s="26" t="s">
        <v>145</v>
      </c>
      <c r="F950" s="26" t="s">
        <v>1931</v>
      </c>
      <c r="G950" s="26" t="s">
        <v>3465</v>
      </c>
      <c r="H950" s="26" t="s">
        <v>25</v>
      </c>
      <c r="I950" s="26" t="s">
        <v>3656</v>
      </c>
    </row>
    <row r="951" customFormat="false" ht="53.25" hidden="false" customHeight="true" outlineLevel="0" collapsed="false">
      <c r="A951" s="26" t="s">
        <v>3657</v>
      </c>
      <c r="B951" s="26" t="s">
        <v>207</v>
      </c>
      <c r="C951" s="26" t="s">
        <v>206</v>
      </c>
      <c r="D951" s="26" t="n">
        <v>2023</v>
      </c>
      <c r="E951" s="26" t="s">
        <v>208</v>
      </c>
      <c r="F951" s="26" t="s">
        <v>209</v>
      </c>
      <c r="G951" s="26" t="s">
        <v>3465</v>
      </c>
      <c r="H951" s="26" t="s">
        <v>25</v>
      </c>
      <c r="I951" s="26" t="s">
        <v>3658</v>
      </c>
    </row>
    <row r="952" customFormat="false" ht="53.25" hidden="false" customHeight="true" outlineLevel="0" collapsed="false">
      <c r="A952" s="26" t="s">
        <v>3659</v>
      </c>
      <c r="B952" s="26" t="s">
        <v>3660</v>
      </c>
      <c r="C952" s="26" t="s">
        <v>1649</v>
      </c>
      <c r="D952" s="26" t="n">
        <v>2022</v>
      </c>
      <c r="E952" s="26" t="s">
        <v>208</v>
      </c>
      <c r="F952" s="26" t="s">
        <v>1650</v>
      </c>
      <c r="G952" s="26" t="s">
        <v>3465</v>
      </c>
      <c r="H952" s="26" t="s">
        <v>25</v>
      </c>
      <c r="I952" s="26" t="s">
        <v>3661</v>
      </c>
    </row>
    <row r="953" customFormat="false" ht="42.75" hidden="false" customHeight="true" outlineLevel="0" collapsed="false">
      <c r="A953" s="26" t="s">
        <v>3662</v>
      </c>
      <c r="B953" s="26" t="s">
        <v>3663</v>
      </c>
      <c r="C953" s="26" t="s">
        <v>336</v>
      </c>
      <c r="D953" s="26" t="n">
        <v>2020</v>
      </c>
      <c r="E953" s="26" t="s">
        <v>338</v>
      </c>
      <c r="F953" s="26" t="s">
        <v>339</v>
      </c>
      <c r="G953" s="26" t="s">
        <v>3465</v>
      </c>
      <c r="H953" s="26" t="s">
        <v>25</v>
      </c>
      <c r="I953" s="26" t="s">
        <v>3664</v>
      </c>
    </row>
    <row r="954" customFormat="false" ht="53.25" hidden="false" customHeight="true" outlineLevel="0" collapsed="false">
      <c r="A954" s="26" t="s">
        <v>3665</v>
      </c>
      <c r="B954" s="26" t="s">
        <v>3666</v>
      </c>
      <c r="C954" s="26" t="s">
        <v>1851</v>
      </c>
      <c r="D954" s="26" t="n">
        <v>2020</v>
      </c>
      <c r="E954" s="26" t="s">
        <v>32</v>
      </c>
      <c r="F954" s="26" t="s">
        <v>1852</v>
      </c>
      <c r="G954" s="26" t="s">
        <v>3465</v>
      </c>
      <c r="H954" s="26" t="s">
        <v>25</v>
      </c>
      <c r="I954" s="26" t="s">
        <v>3667</v>
      </c>
    </row>
    <row r="955" customFormat="false" ht="21.75" hidden="false" customHeight="true" outlineLevel="0" collapsed="false">
      <c r="A955" s="26" t="s">
        <v>3668</v>
      </c>
      <c r="B955" s="26" t="s">
        <v>3669</v>
      </c>
      <c r="C955" s="26" t="s">
        <v>3670</v>
      </c>
      <c r="D955" s="26" t="n">
        <v>2019</v>
      </c>
      <c r="E955" s="26" t="s">
        <v>3580</v>
      </c>
      <c r="F955" s="26" t="s">
        <v>3671</v>
      </c>
      <c r="G955" s="26" t="s">
        <v>3465</v>
      </c>
      <c r="H955" s="26" t="s">
        <v>25</v>
      </c>
      <c r="I955" s="26" t="s">
        <v>3672</v>
      </c>
    </row>
    <row r="956" customFormat="false" ht="32.25" hidden="false" customHeight="true" outlineLevel="0" collapsed="false">
      <c r="A956" s="26" t="s">
        <v>3673</v>
      </c>
      <c r="B956" s="26" t="s">
        <v>3674</v>
      </c>
      <c r="C956" s="26" t="s">
        <v>3675</v>
      </c>
      <c r="D956" s="26" t="n">
        <v>2022</v>
      </c>
      <c r="E956" s="26" t="s">
        <v>3676</v>
      </c>
      <c r="F956" s="26" t="s">
        <v>3677</v>
      </c>
      <c r="G956" s="26" t="s">
        <v>3465</v>
      </c>
      <c r="H956" s="26" t="s">
        <v>514</v>
      </c>
      <c r="I956" s="26" t="s">
        <v>3678</v>
      </c>
    </row>
    <row r="957" customFormat="false" ht="53.25" hidden="false" customHeight="true" outlineLevel="0" collapsed="false">
      <c r="A957" s="26" t="s">
        <v>3679</v>
      </c>
      <c r="B957" s="26" t="s">
        <v>3680</v>
      </c>
      <c r="C957" s="26" t="s">
        <v>83</v>
      </c>
      <c r="D957" s="26" t="n">
        <v>2020</v>
      </c>
      <c r="E957" s="26" t="s">
        <v>32</v>
      </c>
      <c r="F957" s="26" t="s">
        <v>85</v>
      </c>
      <c r="G957" s="26" t="s">
        <v>3465</v>
      </c>
      <c r="H957" s="26" t="s">
        <v>25</v>
      </c>
      <c r="I957" s="26" t="s">
        <v>3681</v>
      </c>
    </row>
    <row r="958" customFormat="false" ht="32.25" hidden="false" customHeight="true" outlineLevel="0" collapsed="false">
      <c r="A958" s="26" t="s">
        <v>3682</v>
      </c>
      <c r="B958" s="26" t="s">
        <v>3683</v>
      </c>
      <c r="C958" s="26" t="s">
        <v>3684</v>
      </c>
      <c r="D958" s="26" t="n">
        <v>2020</v>
      </c>
      <c r="E958" s="26" t="s">
        <v>3685</v>
      </c>
      <c r="F958" s="26" t="s">
        <v>3686</v>
      </c>
      <c r="G958" s="26" t="s">
        <v>3465</v>
      </c>
      <c r="H958" s="26" t="s">
        <v>25</v>
      </c>
      <c r="I958" s="26" t="s">
        <v>3687</v>
      </c>
    </row>
    <row r="959" customFormat="false" ht="32.25" hidden="false" customHeight="true" outlineLevel="0" collapsed="false">
      <c r="A959" s="26" t="s">
        <v>3688</v>
      </c>
      <c r="B959" s="26" t="s">
        <v>3689</v>
      </c>
      <c r="C959" s="26" t="s">
        <v>3690</v>
      </c>
      <c r="D959" s="26" t="n">
        <v>2021</v>
      </c>
      <c r="E959" s="26" t="s">
        <v>3525</v>
      </c>
      <c r="F959" s="26" t="s">
        <v>3691</v>
      </c>
      <c r="G959" s="26" t="s">
        <v>3465</v>
      </c>
      <c r="H959" s="26" t="s">
        <v>514</v>
      </c>
      <c r="I959" s="26" t="s">
        <v>3692</v>
      </c>
    </row>
  </sheetData>
  <dataValidations count="1">
    <dataValidation allowBlank="true" errorStyle="stop" operator="between" showDropDown="false" showErrorMessage="false" showInputMessage="false" sqref="H3:H950" type="list">
      <formula1>"R,M,I"</formula1>
      <formula2>0</formula2>
    </dataValidation>
  </dataValidations>
  <printOptions headings="false" gridLines="false" gridLinesSet="true" horizontalCentered="false" verticalCentered="false"/>
  <pageMargins left="0.75" right="0.75" top="1" bottom="1"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G61"/>
  <sheetViews>
    <sheetView showFormulas="false" showGridLines="false" showRowColHeaders="true" showZeros="true" rightToLeft="false" tabSelected="true" showOutlineSymbols="true" defaultGridColor="true" view="normal" topLeftCell="A1" colorId="64" zoomScale="100" zoomScaleNormal="100" zoomScalePageLayoutView="100" workbookViewId="0">
      <pane xSplit="0" ySplit="4" topLeftCell="A36" activePane="bottomLeft" state="frozen"/>
      <selection pane="topLeft" activeCell="A1" activeCellId="0" sqref="A1"/>
      <selection pane="bottomLeft" activeCell="A62" activeCellId="0" sqref="A62"/>
    </sheetView>
  </sheetViews>
  <sheetFormatPr defaultColWidth="8.83203125" defaultRowHeight="15" customHeight="false" zeroHeight="false" outlineLevelRow="0" outlineLevelCol="0"/>
  <cols>
    <col collapsed="false" customWidth="true" hidden="false" outlineLevel="0" max="1" min="1" style="1" width="30"/>
    <col collapsed="false" customWidth="true" hidden="false" outlineLevel="0" max="4" min="2" style="1" width="8"/>
    <col collapsed="false" customWidth="true" hidden="false" outlineLevel="0" max="5" min="5" style="1" width="12"/>
    <col collapsed="false" customWidth="true" hidden="false" outlineLevel="0" max="7" min="6" style="1" width="22"/>
  </cols>
  <sheetData>
    <row r="1" customFormat="false" ht="18" hidden="false" customHeight="true" outlineLevel="0" collapsed="false">
      <c r="A1" s="2" t="s">
        <v>3693</v>
      </c>
    </row>
    <row r="2" customFormat="false" ht="15" hidden="false" customHeight="true" outlineLevel="0" collapsed="false">
      <c r="A2" s="27" t="s">
        <v>3694</v>
      </c>
    </row>
    <row r="4" customFormat="false" ht="27.75" hidden="false" customHeight="true" outlineLevel="0" collapsed="false">
      <c r="A4" s="28" t="s">
        <v>500</v>
      </c>
      <c r="B4" s="28" t="s">
        <v>25</v>
      </c>
      <c r="C4" s="28" t="s">
        <v>335</v>
      </c>
      <c r="D4" s="28" t="s">
        <v>514</v>
      </c>
      <c r="E4" s="28" t="s">
        <v>3695</v>
      </c>
      <c r="F4" s="28" t="s">
        <v>3696</v>
      </c>
      <c r="G4" s="28" t="s">
        <v>3697</v>
      </c>
    </row>
    <row r="5" customFormat="false" ht="15" hidden="false" customHeight="true" outlineLevel="0" collapsed="false">
      <c r="A5" s="5" t="s">
        <v>507</v>
      </c>
      <c r="B5" s="5" t="n">
        <f aca="false">COUNTIFS('RMI Classification'!$G:$G,$A5,'RMI Classification'!$H:$H,"R")</f>
        <v>238</v>
      </c>
      <c r="C5" s="5" t="n">
        <f aca="false">COUNTIFS('RMI Classification'!$G:$G,$A5,'RMI Classification'!$H:$H,"M")</f>
        <v>41</v>
      </c>
      <c r="D5" s="5" t="n">
        <f aca="false">COUNTIFS('RMI Classification'!$G:$G,$A5,'RMI Classification'!$H:$H,"I")</f>
        <v>25</v>
      </c>
      <c r="E5" s="5" t="n">
        <f aca="false">SUM(B5:D5)</f>
        <v>304</v>
      </c>
      <c r="F5" s="29" t="n">
        <f aca="false">IFERROR(B5/E5,"-")</f>
        <v>0.782894736842105</v>
      </c>
      <c r="G5" s="29" t="n">
        <f aca="false">IFERROR((B5+C5)/E5,"-")</f>
        <v>0.917763157894737</v>
      </c>
    </row>
    <row r="6" customFormat="false" ht="15" hidden="false" customHeight="true" outlineLevel="0" collapsed="false">
      <c r="A6" s="6" t="s">
        <v>527</v>
      </c>
      <c r="B6" s="6" t="n">
        <f aca="false">COUNTIFS('RMI Classification'!$G:$G,$A6,'RMI Classification'!$H:$H,"R")</f>
        <v>311</v>
      </c>
      <c r="C6" s="6" t="n">
        <f aca="false">COUNTIFS('RMI Classification'!$G:$G,$A6,'RMI Classification'!$H:$H,"M")</f>
        <v>34</v>
      </c>
      <c r="D6" s="6" t="n">
        <f aca="false">COUNTIFS('RMI Classification'!$G:$G,$A6,'RMI Classification'!$H:$H,"I")</f>
        <v>9</v>
      </c>
      <c r="E6" s="6" t="n">
        <f aca="false">SUM(B6:D6)</f>
        <v>354</v>
      </c>
      <c r="F6" s="30" t="n">
        <f aca="false">IFERROR(B6/E6,"-")</f>
        <v>0.878531073446328</v>
      </c>
      <c r="G6" s="30" t="n">
        <f aca="false">IFERROR((B6+C6)/E6,"-")</f>
        <v>0.974576271186441</v>
      </c>
    </row>
    <row r="7" customFormat="false" ht="15" hidden="false" customHeight="true" outlineLevel="0" collapsed="false">
      <c r="A7" s="5" t="s">
        <v>3698</v>
      </c>
      <c r="B7" s="5" t="n">
        <f aca="false">COUNTIFS('RMI Classification'!$G:$G,$A7,'RMI Classification'!$H:$H,"R")</f>
        <v>0</v>
      </c>
      <c r="C7" s="5" t="n">
        <f aca="false">COUNTIFS('RMI Classification'!$G:$G,$A7,'RMI Classification'!$H:$H,"M")</f>
        <v>0</v>
      </c>
      <c r="D7" s="5" t="n">
        <f aca="false">COUNTIFS('RMI Classification'!$G:$G,$A7,'RMI Classification'!$H:$H,"I")</f>
        <v>0</v>
      </c>
      <c r="E7" s="5" t="n">
        <f aca="false">SUM(B7:D7)</f>
        <v>0</v>
      </c>
      <c r="F7" s="29" t="str">
        <f aca="false">IFERROR(B7/E7,"-")</f>
        <v>-</v>
      </c>
      <c r="G7" s="29" t="str">
        <f aca="false">IFERROR((B7+C7)/E7,"-")</f>
        <v>-</v>
      </c>
    </row>
    <row r="8" customFormat="false" ht="15" hidden="false" customHeight="true" outlineLevel="0" collapsed="false">
      <c r="A8" s="6" t="s">
        <v>2717</v>
      </c>
      <c r="B8" s="6" t="n">
        <f aca="false">COUNTIFS('RMI Classification'!$G:$G,$A8,'RMI Classification'!$H:$H,"R")</f>
        <v>5</v>
      </c>
      <c r="C8" s="6" t="n">
        <f aca="false">COUNTIFS('RMI Classification'!$G:$G,$A8,'RMI Classification'!$H:$H,"M")</f>
        <v>3</v>
      </c>
      <c r="D8" s="6" t="n">
        <f aca="false">COUNTIFS('RMI Classification'!$G:$G,$A8,'RMI Classification'!$H:$H,"I")</f>
        <v>10</v>
      </c>
      <c r="E8" s="6" t="n">
        <f aca="false">SUM(B8:D8)</f>
        <v>18</v>
      </c>
      <c r="F8" s="30" t="n">
        <f aca="false">IFERROR(B8/E8,"-")</f>
        <v>0.277777777777778</v>
      </c>
      <c r="G8" s="30" t="n">
        <f aca="false">IFERROR((B8+C8)/E8,"-")</f>
        <v>0.444444444444444</v>
      </c>
    </row>
    <row r="9" customFormat="false" ht="15" hidden="false" customHeight="true" outlineLevel="0" collapsed="false">
      <c r="A9" s="5" t="s">
        <v>2721</v>
      </c>
      <c r="B9" s="5" t="n">
        <f aca="false">COUNTIFS('RMI Classification'!$G:$G,$A9,'RMI Classification'!$H:$H,"R")</f>
        <v>2</v>
      </c>
      <c r="C9" s="5" t="n">
        <f aca="false">COUNTIFS('RMI Classification'!$G:$G,$A9,'RMI Classification'!$H:$H,"M")</f>
        <v>1</v>
      </c>
      <c r="D9" s="5" t="n">
        <f aca="false">COUNTIFS('RMI Classification'!$G:$G,$A9,'RMI Classification'!$H:$H,"I")</f>
        <v>2</v>
      </c>
      <c r="E9" s="5" t="n">
        <f aca="false">SUM(B9:D9)</f>
        <v>5</v>
      </c>
      <c r="F9" s="29" t="n">
        <f aca="false">IFERROR(B9/E9,"-")</f>
        <v>0.4</v>
      </c>
      <c r="G9" s="29" t="n">
        <f aca="false">IFERROR((B9+C9)/E9,"-")</f>
        <v>0.6</v>
      </c>
    </row>
    <row r="10" customFormat="false" ht="15" hidden="false" customHeight="true" outlineLevel="0" collapsed="false">
      <c r="A10" s="6" t="s">
        <v>2722</v>
      </c>
      <c r="B10" s="6" t="n">
        <f aca="false">COUNTIFS('RMI Classification'!$G:$G,$A10,'RMI Classification'!$H:$H,"R")</f>
        <v>5</v>
      </c>
      <c r="C10" s="6" t="n">
        <f aca="false">COUNTIFS('RMI Classification'!$G:$G,$A10,'RMI Classification'!$H:$H,"M")</f>
        <v>2</v>
      </c>
      <c r="D10" s="6" t="n">
        <f aca="false">COUNTIFS('RMI Classification'!$G:$G,$A10,'RMI Classification'!$H:$H,"I")</f>
        <v>6</v>
      </c>
      <c r="E10" s="6" t="n">
        <f aca="false">SUM(B10:D10)</f>
        <v>13</v>
      </c>
      <c r="F10" s="30" t="n">
        <f aca="false">IFERROR(B10/E10,"-")</f>
        <v>0.384615384615385</v>
      </c>
      <c r="G10" s="30" t="n">
        <f aca="false">IFERROR((B10+C10)/E10,"-")</f>
        <v>0.538461538461538</v>
      </c>
    </row>
    <row r="11" customFormat="false" ht="15" hidden="false" customHeight="true" outlineLevel="0" collapsed="false">
      <c r="A11" s="5" t="s">
        <v>2735</v>
      </c>
      <c r="B11" s="5" t="n">
        <f aca="false">COUNTIFS('RMI Classification'!$G:$G,$A11,'RMI Classification'!$H:$H,"R")</f>
        <v>1</v>
      </c>
      <c r="C11" s="5" t="n">
        <f aca="false">COUNTIFS('RMI Classification'!$G:$G,$A11,'RMI Classification'!$H:$H,"M")</f>
        <v>3</v>
      </c>
      <c r="D11" s="5" t="n">
        <f aca="false">COUNTIFS('RMI Classification'!$G:$G,$A11,'RMI Classification'!$H:$H,"I")</f>
        <v>7</v>
      </c>
      <c r="E11" s="5" t="n">
        <f aca="false">SUM(B11:D11)</f>
        <v>11</v>
      </c>
      <c r="F11" s="29" t="n">
        <f aca="false">IFERROR(B11/E11,"-")</f>
        <v>0.0909090909090909</v>
      </c>
      <c r="G11" s="29" t="n">
        <f aca="false">IFERROR((B11+C11)/E11,"-")</f>
        <v>0.363636363636364</v>
      </c>
    </row>
    <row r="12" customFormat="false" ht="30" hidden="false" customHeight="true" outlineLevel="0" collapsed="false">
      <c r="A12" s="6" t="s">
        <v>2828</v>
      </c>
      <c r="B12" s="6" t="n">
        <f aca="false">COUNTIFS('RMI Classification'!$G:$G,$A12,'RMI Classification'!$H:$H,"R")</f>
        <v>158</v>
      </c>
      <c r="C12" s="6" t="n">
        <f aca="false">COUNTIFS('RMI Classification'!$G:$G,$A12,'RMI Classification'!$H:$H,"M")</f>
        <v>24</v>
      </c>
      <c r="D12" s="6" t="n">
        <f aca="false">COUNTIFS('RMI Classification'!$G:$G,$A12,'RMI Classification'!$H:$H,"I")</f>
        <v>10</v>
      </c>
      <c r="E12" s="6" t="n">
        <f aca="false">SUM(B12:D12)</f>
        <v>192</v>
      </c>
      <c r="F12" s="30" t="n">
        <f aca="false">IFERROR(B12/E12,"-")</f>
        <v>0.822916666666667</v>
      </c>
      <c r="G12" s="30" t="n">
        <f aca="false">IFERROR((B12+C12)/E12,"-")</f>
        <v>0.947916666666667</v>
      </c>
    </row>
    <row r="13" customFormat="false" ht="15" hidden="false" customHeight="true" outlineLevel="0" collapsed="false">
      <c r="A13" s="5" t="s">
        <v>3453</v>
      </c>
      <c r="B13" s="5" t="n">
        <f aca="false">COUNTIFS('RMI Classification'!$G:$G,$A13,'RMI Classification'!$H:$H,"R")</f>
        <v>2</v>
      </c>
      <c r="C13" s="5" t="n">
        <f aca="false">COUNTIFS('RMI Classification'!$G:$G,$A13,'RMI Classification'!$H:$H,"M")</f>
        <v>0</v>
      </c>
      <c r="D13" s="5" t="n">
        <f aca="false">COUNTIFS('RMI Classification'!$G:$G,$A13,'RMI Classification'!$H:$H,"I")</f>
        <v>0</v>
      </c>
      <c r="E13" s="5" t="n">
        <f aca="false">SUM(B13:D13)</f>
        <v>2</v>
      </c>
      <c r="F13" s="29" t="n">
        <f aca="false">IFERROR(B13/E13,"-")</f>
        <v>1</v>
      </c>
      <c r="G13" s="29" t="n">
        <f aca="false">IFERROR((B13+C13)/E13,"-")</f>
        <v>1</v>
      </c>
    </row>
    <row r="14" customFormat="false" ht="15" hidden="false" customHeight="true" outlineLevel="0" collapsed="false">
      <c r="A14" s="5" t="s">
        <v>3465</v>
      </c>
      <c r="B14" s="5" t="n">
        <f aca="false">COUNTIFS('RMI Classification'!$G:$G,$A14,'RMI Classification'!$H:$H,"R")</f>
        <v>54</v>
      </c>
      <c r="C14" s="5" t="n">
        <f aca="false">COUNTIFS('RMI Classification'!$G:$G,$A14,'RMI Classification'!$H:$H,"M")</f>
        <v>3</v>
      </c>
      <c r="D14" s="5" t="n">
        <f aca="false">COUNTIFS('RMI Classification'!$G:$G,$A14,'RMI Classification'!$H:$H,"I")</f>
        <v>2</v>
      </c>
      <c r="E14" s="5" t="n">
        <f aca="false">SUM(B14:D14)</f>
        <v>59</v>
      </c>
      <c r="F14" s="29" t="n">
        <f aca="false">IFERROR(B14/E14,"-")</f>
        <v>0.915254237288136</v>
      </c>
      <c r="G14" s="29" t="n">
        <f aca="false">IFERROR((B14+C14)/E14,"-")</f>
        <v>0.966101694915254</v>
      </c>
    </row>
    <row r="15" customFormat="false" ht="15" hidden="false" customHeight="true" outlineLevel="0" collapsed="false">
      <c r="A15" s="7" t="s">
        <v>3699</v>
      </c>
      <c r="B15" s="7" t="n">
        <f aca="false">COUNTIF('RMI Classification'!$H:$H,"R")</f>
        <v>776</v>
      </c>
      <c r="C15" s="7" t="n">
        <f aca="false">COUNTIF('RMI Classification'!$H:$H,"M")</f>
        <v>111</v>
      </c>
      <c r="D15" s="7" t="n">
        <f aca="false">COUNTIF('RMI Classification'!$H:$H,"I")</f>
        <v>71</v>
      </c>
      <c r="E15" s="7" t="n">
        <f aca="false">SUM(B15:D15)</f>
        <v>958</v>
      </c>
      <c r="F15" s="31" t="n">
        <f aca="false">IFERROR(B15/E15,"-")</f>
        <v>0.810020876826722</v>
      </c>
      <c r="G15" s="31" t="n">
        <f aca="false">IFERROR((B15+C15)/E15,"-")</f>
        <v>0.925887265135699</v>
      </c>
    </row>
    <row r="16" customFormat="false" ht="45" hidden="false" customHeight="true" outlineLevel="0" collapsed="false">
      <c r="A16" s="32"/>
      <c r="B16" s="33"/>
      <c r="C16" s="33"/>
      <c r="D16" s="33"/>
      <c r="E16" s="33"/>
      <c r="F16" s="33"/>
      <c r="G16" s="33"/>
    </row>
    <row r="17" customFormat="false" ht="45" hidden="false" customHeight="true" outlineLevel="0" collapsed="false">
      <c r="A17" s="32"/>
      <c r="B17" s="33"/>
      <c r="C17" s="33"/>
      <c r="D17" s="33"/>
      <c r="E17" s="33"/>
      <c r="F17" s="33"/>
      <c r="G17" s="33"/>
    </row>
    <row r="18" customFormat="false" ht="54.75" hidden="false" customHeight="true" outlineLevel="0" collapsed="false">
      <c r="A18" s="34" t="s">
        <v>3700</v>
      </c>
      <c r="B18" s="34"/>
      <c r="C18" s="34"/>
      <c r="D18" s="34"/>
      <c r="E18" s="34"/>
      <c r="F18" s="34"/>
      <c r="G18" s="34"/>
    </row>
    <row r="19" customFormat="false" ht="15" hidden="false" customHeight="true" outlineLevel="0" collapsed="false">
      <c r="A19" s="33"/>
      <c r="B19" s="33"/>
      <c r="C19" s="33"/>
      <c r="D19" s="33"/>
      <c r="E19" s="33"/>
      <c r="F19" s="33"/>
      <c r="G19" s="33"/>
    </row>
    <row r="20" customFormat="false" ht="15" hidden="false" customHeight="true" outlineLevel="0" collapsed="false">
      <c r="A20" s="33"/>
      <c r="B20" s="33"/>
      <c r="C20" s="33"/>
      <c r="D20" s="33"/>
      <c r="E20" s="33"/>
      <c r="F20" s="33"/>
      <c r="G20" s="33"/>
    </row>
    <row r="21" customFormat="false" ht="15" hidden="false" customHeight="true" outlineLevel="0" collapsed="false">
      <c r="A21" s="33"/>
      <c r="B21" s="33"/>
      <c r="C21" s="33"/>
      <c r="D21" s="33"/>
      <c r="E21" s="33"/>
      <c r="F21" s="33"/>
      <c r="G21" s="33"/>
    </row>
    <row r="22" customFormat="false" ht="15" hidden="false" customHeight="true" outlineLevel="0" collapsed="false">
      <c r="A22" s="33"/>
      <c r="B22" s="33"/>
      <c r="C22" s="33"/>
      <c r="D22" s="33"/>
      <c r="E22" s="33"/>
      <c r="F22" s="33"/>
      <c r="G22" s="33"/>
    </row>
    <row r="23" customFormat="false" ht="15" hidden="false" customHeight="true" outlineLevel="0" collapsed="false">
      <c r="A23" s="33"/>
      <c r="B23" s="33"/>
      <c r="C23" s="33"/>
      <c r="D23" s="33"/>
      <c r="E23" s="33"/>
      <c r="F23" s="33"/>
      <c r="G23" s="33"/>
    </row>
    <row r="24" customFormat="false" ht="15" hidden="false" customHeight="true" outlineLevel="0" collapsed="false">
      <c r="A24" s="33"/>
      <c r="B24" s="33"/>
      <c r="C24" s="33"/>
      <c r="D24" s="33"/>
      <c r="E24" s="33"/>
      <c r="F24" s="33"/>
      <c r="G24" s="33"/>
    </row>
    <row r="25" customFormat="false" ht="15" hidden="false" customHeight="true" outlineLevel="0" collapsed="false">
      <c r="A25" s="33"/>
      <c r="B25" s="33"/>
      <c r="C25" s="33"/>
      <c r="D25" s="33"/>
      <c r="E25" s="33"/>
      <c r="F25" s="33"/>
      <c r="G25" s="33"/>
    </row>
    <row r="26" customFormat="false" ht="15" hidden="false" customHeight="true" outlineLevel="0" collapsed="false">
      <c r="A26" s="33"/>
      <c r="B26" s="33"/>
      <c r="C26" s="33"/>
      <c r="D26" s="33"/>
      <c r="E26" s="33"/>
      <c r="F26" s="33"/>
      <c r="G26" s="33"/>
    </row>
    <row r="27" customFormat="false" ht="15" hidden="false" customHeight="true" outlineLevel="0" collapsed="false">
      <c r="A27" s="33"/>
      <c r="B27" s="33"/>
      <c r="C27" s="33"/>
      <c r="D27" s="33"/>
      <c r="E27" s="33"/>
      <c r="F27" s="33"/>
      <c r="G27" s="33"/>
    </row>
    <row r="28" customFormat="false" ht="15" hidden="false" customHeight="true" outlineLevel="0" collapsed="false">
      <c r="A28" s="33"/>
      <c r="B28" s="33"/>
      <c r="C28" s="33"/>
      <c r="D28" s="33"/>
      <c r="E28" s="33"/>
      <c r="F28" s="33"/>
      <c r="G28" s="33"/>
    </row>
    <row r="29" customFormat="false" ht="15" hidden="false" customHeight="true" outlineLevel="0" collapsed="false">
      <c r="A29" s="33"/>
      <c r="B29" s="33"/>
      <c r="C29" s="33"/>
      <c r="D29" s="33"/>
      <c r="E29" s="33"/>
      <c r="F29" s="33"/>
      <c r="G29" s="33"/>
    </row>
    <row r="30" customFormat="false" ht="15" hidden="false" customHeight="true" outlineLevel="0" collapsed="false">
      <c r="A30" s="33"/>
      <c r="B30" s="33"/>
      <c r="C30" s="33"/>
      <c r="D30" s="33"/>
      <c r="E30" s="33"/>
      <c r="F30" s="33"/>
      <c r="G30" s="33"/>
    </row>
    <row r="33" customFormat="false" ht="15.75" hidden="false" customHeight="true" outlineLevel="0" collapsed="false">
      <c r="A33" s="35" t="s">
        <v>3701</v>
      </c>
      <c r="B33" s="35"/>
      <c r="C33" s="35"/>
      <c r="D33" s="35"/>
      <c r="E33" s="35"/>
      <c r="F33" s="35"/>
      <c r="G33" s="35"/>
    </row>
    <row r="34" customFormat="false" ht="15" hidden="false" customHeight="true" outlineLevel="0" collapsed="false">
      <c r="A34" s="36"/>
      <c r="B34" s="36"/>
      <c r="C34" s="36"/>
      <c r="D34" s="36"/>
      <c r="E34" s="36"/>
      <c r="F34" s="36"/>
      <c r="G34" s="36"/>
    </row>
    <row r="35" customFormat="false" ht="15" hidden="false" customHeight="true" outlineLevel="0" collapsed="false">
      <c r="A35" s="37" t="s">
        <v>3702</v>
      </c>
      <c r="B35" s="37"/>
      <c r="C35" s="37"/>
      <c r="D35" s="37"/>
      <c r="E35" s="37"/>
      <c r="F35" s="37"/>
      <c r="G35" s="37"/>
    </row>
    <row r="36" customFormat="false" ht="15" hidden="false" customHeight="true" outlineLevel="0" collapsed="false">
      <c r="A36" s="36" t="s">
        <v>3703</v>
      </c>
      <c r="B36" s="36" t="n">
        <v>354</v>
      </c>
      <c r="C36" s="36"/>
      <c r="D36" s="36"/>
      <c r="E36" s="36"/>
      <c r="F36" s="36"/>
      <c r="G36" s="36"/>
    </row>
    <row r="37" customFormat="false" ht="15" hidden="false" customHeight="true" outlineLevel="0" collapsed="false">
      <c r="A37" s="36" t="s">
        <v>3704</v>
      </c>
      <c r="B37" s="36" t="n">
        <v>192</v>
      </c>
      <c r="C37" s="36"/>
      <c r="D37" s="36"/>
      <c r="E37" s="36"/>
      <c r="F37" s="36"/>
      <c r="G37" s="36"/>
    </row>
    <row r="38" customFormat="false" ht="15" hidden="false" customHeight="true" outlineLevel="0" collapsed="false">
      <c r="A38" s="36" t="s">
        <v>3705</v>
      </c>
      <c r="B38" s="36" t="n">
        <v>27</v>
      </c>
      <c r="C38" s="36"/>
      <c r="D38" s="36"/>
      <c r="E38" s="36"/>
      <c r="F38" s="36"/>
      <c r="G38" s="36"/>
    </row>
    <row r="39" customFormat="false" ht="15" hidden="false" customHeight="true" outlineLevel="0" collapsed="false">
      <c r="A39" s="36" t="s">
        <v>3706</v>
      </c>
      <c r="B39" s="36" t="n">
        <v>2</v>
      </c>
      <c r="C39" s="36"/>
      <c r="D39" s="36"/>
      <c r="E39" s="36"/>
      <c r="F39" s="36"/>
      <c r="G39" s="36"/>
    </row>
    <row r="40" customFormat="false" ht="15" hidden="false" customHeight="true" outlineLevel="0" collapsed="false">
      <c r="A40" s="36" t="s">
        <v>3707</v>
      </c>
      <c r="B40" s="36" t="n">
        <v>59</v>
      </c>
      <c r="C40" s="36"/>
      <c r="D40" s="36"/>
      <c r="E40" s="36"/>
      <c r="F40" s="36"/>
      <c r="G40" s="36"/>
    </row>
    <row r="41" customFormat="false" ht="15" hidden="false" customHeight="true" outlineLevel="0" collapsed="false">
      <c r="A41" s="38" t="s">
        <v>3708</v>
      </c>
      <c r="B41" s="38" t="n">
        <v>634</v>
      </c>
      <c r="C41" s="38"/>
      <c r="D41" s="38"/>
      <c r="E41" s="38"/>
      <c r="F41" s="38"/>
      <c r="G41" s="38"/>
    </row>
    <row r="42" customFormat="false" ht="15" hidden="false" customHeight="true" outlineLevel="0" collapsed="false">
      <c r="A42" s="36" t="s">
        <v>3709</v>
      </c>
      <c r="B42" s="36" t="n">
        <v>174</v>
      </c>
      <c r="C42" s="36"/>
      <c r="D42" s="36"/>
      <c r="E42" s="36"/>
      <c r="F42" s="36"/>
      <c r="G42" s="36"/>
    </row>
    <row r="43" customFormat="false" ht="15" hidden="false" customHeight="true" outlineLevel="0" collapsed="false">
      <c r="A43" s="36"/>
      <c r="B43" s="36"/>
      <c r="C43" s="36"/>
      <c r="D43" s="36"/>
      <c r="E43" s="36"/>
      <c r="F43" s="36"/>
      <c r="G43" s="36"/>
    </row>
    <row r="44" customFormat="false" ht="15" hidden="false" customHeight="true" outlineLevel="0" collapsed="false">
      <c r="A44" s="37" t="s">
        <v>3710</v>
      </c>
      <c r="B44" s="37"/>
      <c r="C44" s="37"/>
      <c r="D44" s="37"/>
      <c r="E44" s="37"/>
      <c r="F44" s="37"/>
      <c r="G44" s="37"/>
    </row>
    <row r="45" customFormat="false" ht="15" hidden="false" customHeight="true" outlineLevel="0" collapsed="false">
      <c r="A45" s="38" t="s">
        <v>3711</v>
      </c>
      <c r="B45" s="38" t="n">
        <v>460</v>
      </c>
      <c r="C45" s="38"/>
      <c r="D45" s="38"/>
      <c r="E45" s="38"/>
      <c r="F45" s="38"/>
      <c r="G45" s="38"/>
    </row>
    <row r="46" customFormat="false" ht="15" hidden="false" customHeight="true" outlineLevel="0" collapsed="false">
      <c r="A46" s="36" t="s">
        <v>3712</v>
      </c>
      <c r="B46" s="36" t="n">
        <v>30</v>
      </c>
      <c r="C46" s="36"/>
      <c r="D46" s="36"/>
      <c r="E46" s="36"/>
      <c r="F46" s="36"/>
      <c r="G46" s="36"/>
    </row>
    <row r="47" customFormat="false" ht="15" hidden="false" customHeight="true" outlineLevel="0" collapsed="false">
      <c r="A47" s="36" t="s">
        <v>3713</v>
      </c>
      <c r="B47" s="36" t="n">
        <v>9</v>
      </c>
      <c r="C47" s="36"/>
      <c r="D47" s="36"/>
      <c r="E47" s="36"/>
      <c r="F47" s="36"/>
      <c r="G47" s="36"/>
    </row>
    <row r="48" customFormat="false" ht="15" hidden="false" customHeight="true" outlineLevel="0" collapsed="false">
      <c r="A48" s="36" t="s">
        <v>3714</v>
      </c>
      <c r="B48" s="36" t="n">
        <v>8</v>
      </c>
      <c r="C48" s="36"/>
      <c r="D48" s="36"/>
      <c r="E48" s="36"/>
      <c r="F48" s="36"/>
      <c r="G48" s="36"/>
    </row>
    <row r="49" customFormat="false" ht="15" hidden="false" customHeight="true" outlineLevel="0" collapsed="false">
      <c r="A49" s="36" t="s">
        <v>3715</v>
      </c>
      <c r="B49" s="36" t="n">
        <v>4</v>
      </c>
      <c r="C49" s="36"/>
      <c r="D49" s="36"/>
      <c r="E49" s="36"/>
      <c r="F49" s="36"/>
      <c r="G49" s="36"/>
    </row>
    <row r="50" customFormat="false" ht="15" hidden="false" customHeight="true" outlineLevel="0" collapsed="false">
      <c r="A50" s="36" t="s">
        <v>3716</v>
      </c>
      <c r="B50" s="36" t="n">
        <v>4</v>
      </c>
      <c r="C50" s="36"/>
      <c r="D50" s="36"/>
      <c r="E50" s="36"/>
      <c r="F50" s="36"/>
      <c r="G50" s="36"/>
    </row>
    <row r="51" customFormat="false" ht="15" hidden="false" customHeight="true" outlineLevel="0" collapsed="false">
      <c r="A51" s="36" t="s">
        <v>3717</v>
      </c>
      <c r="B51" s="36" t="n">
        <v>4</v>
      </c>
      <c r="C51" s="36"/>
      <c r="D51" s="36"/>
      <c r="E51" s="36"/>
      <c r="F51" s="36"/>
      <c r="G51" s="36"/>
    </row>
    <row r="52" customFormat="false" ht="15" hidden="false" customHeight="true" outlineLevel="0" collapsed="false">
      <c r="A52" s="36" t="s">
        <v>3718</v>
      </c>
      <c r="B52" s="36" t="n">
        <v>1</v>
      </c>
      <c r="C52" s="36"/>
      <c r="D52" s="36"/>
      <c r="E52" s="36"/>
      <c r="F52" s="36"/>
      <c r="G52" s="36"/>
    </row>
    <row r="53" customFormat="false" ht="15" hidden="false" customHeight="true" outlineLevel="0" collapsed="false">
      <c r="A53" s="36"/>
      <c r="B53" s="36"/>
      <c r="C53" s="36"/>
      <c r="D53" s="36"/>
      <c r="E53" s="36"/>
      <c r="F53" s="36"/>
      <c r="G53" s="36"/>
    </row>
    <row r="54" customFormat="false" ht="15" hidden="false" customHeight="true" outlineLevel="0" collapsed="false">
      <c r="A54" s="37" t="s">
        <v>3719</v>
      </c>
      <c r="B54" s="37"/>
      <c r="C54" s="37"/>
      <c r="D54" s="37"/>
      <c r="E54" s="37"/>
      <c r="F54" s="37"/>
      <c r="G54" s="37"/>
    </row>
    <row r="55" customFormat="false" ht="15" hidden="false" customHeight="true" outlineLevel="0" collapsed="false">
      <c r="A55" s="38" t="s">
        <v>3720</v>
      </c>
      <c r="B55" s="38" t="n">
        <v>430</v>
      </c>
      <c r="C55" s="38"/>
      <c r="D55" s="38"/>
      <c r="E55" s="38"/>
      <c r="F55" s="38"/>
      <c r="G55" s="38"/>
    </row>
    <row r="56" customFormat="false" ht="15" hidden="false" customHeight="true" outlineLevel="0" collapsed="false">
      <c r="A56" s="36" t="s">
        <v>3721</v>
      </c>
      <c r="B56" s="36"/>
      <c r="C56" s="36"/>
      <c r="D56" s="36"/>
      <c r="E56" s="36"/>
      <c r="F56" s="36"/>
      <c r="G56" s="36"/>
    </row>
    <row r="57" customFormat="false" ht="15" hidden="false" customHeight="true" outlineLevel="0" collapsed="false">
      <c r="A57" s="36" t="s">
        <v>3722</v>
      </c>
      <c r="B57" s="36"/>
      <c r="C57" s="36"/>
      <c r="D57" s="36"/>
      <c r="E57" s="36"/>
      <c r="F57" s="36"/>
      <c r="G57" s="36"/>
    </row>
    <row r="58" customFormat="false" ht="15" hidden="false" customHeight="true" outlineLevel="0" collapsed="false">
      <c r="A58" s="36" t="s">
        <v>3723</v>
      </c>
      <c r="B58" s="36"/>
      <c r="C58" s="36"/>
      <c r="D58" s="36"/>
      <c r="E58" s="36"/>
      <c r="F58" s="36"/>
      <c r="G58" s="36"/>
    </row>
    <row r="59" customFormat="false" ht="15" hidden="false" customHeight="true" outlineLevel="0" collapsed="false">
      <c r="A59" s="36"/>
      <c r="B59" s="36"/>
      <c r="C59" s="36"/>
      <c r="D59" s="36"/>
      <c r="E59" s="36"/>
      <c r="F59" s="36"/>
      <c r="G59" s="36"/>
    </row>
    <row r="60" customFormat="false" ht="15" hidden="false" customHeight="true" outlineLevel="0" collapsed="false">
      <c r="A60" s="37" t="s">
        <v>3724</v>
      </c>
      <c r="B60" s="37"/>
      <c r="C60" s="37"/>
      <c r="D60" s="37"/>
      <c r="E60" s="37"/>
      <c r="F60" s="37"/>
      <c r="G60" s="37"/>
    </row>
    <row r="61" customFormat="false" ht="15" hidden="false" customHeight="true" outlineLevel="0" collapsed="false">
      <c r="A61" s="36" t="s">
        <v>3725</v>
      </c>
      <c r="B61" s="36"/>
      <c r="C61" s="36"/>
      <c r="D61" s="36"/>
      <c r="E61" s="36"/>
      <c r="F61" s="36"/>
      <c r="G61" s="36"/>
    </row>
  </sheetData>
  <mergeCells count="6">
    <mergeCell ref="A18:G18"/>
    <mergeCell ref="A33:G33"/>
    <mergeCell ref="A35:G35"/>
    <mergeCell ref="A44:G44"/>
    <mergeCell ref="A54:G54"/>
    <mergeCell ref="A60:G60"/>
  </mergeCells>
  <printOptions headings="false" gridLines="false" gridLinesSet="true" horizontalCentered="false" verticalCentered="false"/>
  <pageMargins left="0.75" right="0.75" top="1" bottom="1"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Q464"/>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83203125" defaultRowHeight="15" customHeight="false" zeroHeight="false" outlineLevelRow="0" outlineLevelCol="0"/>
  <cols>
    <col collapsed="false" customWidth="true" hidden="false" outlineLevel="0" max="1" min="1" style="1" width="7"/>
    <col collapsed="false" customWidth="true" hidden="false" outlineLevel="0" max="2" min="2" style="1" width="22"/>
    <col collapsed="false" customWidth="true" hidden="false" outlineLevel="0" max="3" min="3" style="1" width="9"/>
    <col collapsed="false" customWidth="true" hidden="false" outlineLevel="0" max="4" min="4" style="1" width="20"/>
    <col collapsed="false" customWidth="true" hidden="false" outlineLevel="0" max="5" min="5" style="1" width="40"/>
    <col collapsed="false" customWidth="true" hidden="false" outlineLevel="0" max="6" min="6" style="1" width="6"/>
    <col collapsed="false" customWidth="true" hidden="false" outlineLevel="0" max="7" min="7" style="1" width="22"/>
    <col collapsed="false" customWidth="true" hidden="false" outlineLevel="0" max="8" min="8" style="1" width="18"/>
    <col collapsed="false" customWidth="true" hidden="false" outlineLevel="0" max="9" min="9" style="1" width="13"/>
    <col collapsed="false" customWidth="true" hidden="false" outlineLevel="0" max="10" min="10" style="1" width="6"/>
    <col collapsed="false" customWidth="true" hidden="false" outlineLevel="0" max="11" min="11" style="1" width="8"/>
    <col collapsed="false" customWidth="true" hidden="false" outlineLevel="0" max="12" min="12" style="1" width="9"/>
    <col collapsed="false" customWidth="true" hidden="false" outlineLevel="0" max="13" min="13" style="1" width="15"/>
    <col collapsed="false" customWidth="true" hidden="false" outlineLevel="0" max="14" min="14" style="1" width="24"/>
    <col collapsed="false" customWidth="true" hidden="false" outlineLevel="0" max="15" min="15" style="1" width="10"/>
    <col collapsed="false" customWidth="true" hidden="false" outlineLevel="0" max="16" min="16" style="1" width="14"/>
    <col collapsed="false" customWidth="true" hidden="false" outlineLevel="0" max="17" min="17" style="1" width="22"/>
  </cols>
  <sheetData>
    <row r="1" customFormat="false" ht="18" hidden="false" customHeight="true" outlineLevel="0" collapsed="false">
      <c r="A1" s="2" t="s">
        <v>3726</v>
      </c>
    </row>
    <row r="2" customFormat="false" ht="39.75" hidden="false" customHeight="true" outlineLevel="0" collapsed="false">
      <c r="A2" s="3" t="s">
        <v>3727</v>
      </c>
      <c r="B2" s="3"/>
      <c r="C2" s="3"/>
      <c r="D2" s="3"/>
      <c r="E2" s="3"/>
      <c r="F2" s="3"/>
      <c r="G2" s="3"/>
      <c r="H2" s="3"/>
      <c r="I2" s="3"/>
      <c r="J2" s="3"/>
      <c r="K2" s="3"/>
      <c r="L2" s="3"/>
      <c r="M2" s="3"/>
      <c r="N2" s="3"/>
      <c r="O2" s="3"/>
      <c r="P2" s="3"/>
    </row>
    <row r="4" customFormat="false" ht="39" hidden="false" customHeight="true" outlineLevel="0" collapsed="false">
      <c r="A4" s="39" t="s">
        <v>3728</v>
      </c>
      <c r="B4" s="39" t="s">
        <v>3729</v>
      </c>
      <c r="C4" s="39" t="s">
        <v>498</v>
      </c>
      <c r="D4" s="39" t="s">
        <v>14</v>
      </c>
      <c r="E4" s="39" t="s">
        <v>13</v>
      </c>
      <c r="F4" s="39" t="s">
        <v>15</v>
      </c>
      <c r="G4" s="39" t="s">
        <v>16</v>
      </c>
      <c r="H4" s="39" t="s">
        <v>17</v>
      </c>
      <c r="I4" s="39" t="s">
        <v>3730</v>
      </c>
      <c r="J4" s="39" t="s">
        <v>3731</v>
      </c>
      <c r="K4" s="39" t="s">
        <v>19</v>
      </c>
      <c r="L4" s="39" t="s">
        <v>3732</v>
      </c>
      <c r="M4" s="39" t="s">
        <v>3733</v>
      </c>
      <c r="N4" s="39" t="s">
        <v>3734</v>
      </c>
      <c r="O4" s="39" t="s">
        <v>3735</v>
      </c>
      <c r="P4" s="39" t="s">
        <v>3736</v>
      </c>
      <c r="Q4" s="39" t="s">
        <v>3737</v>
      </c>
    </row>
    <row r="5" customFormat="false" ht="51.75" hidden="false" customHeight="true" outlineLevel="0" collapsed="false">
      <c r="A5" s="40" t="n">
        <v>1</v>
      </c>
      <c r="B5" s="40" t="s">
        <v>3738</v>
      </c>
      <c r="C5" s="40" t="s">
        <v>3739</v>
      </c>
      <c r="D5" s="40" t="s">
        <v>3079</v>
      </c>
      <c r="E5" s="40" t="s">
        <v>3080</v>
      </c>
      <c r="F5" s="40" t="n">
        <v>2022</v>
      </c>
      <c r="G5" s="40" t="s">
        <v>3081</v>
      </c>
      <c r="H5" s="40" t="s">
        <v>3082</v>
      </c>
      <c r="I5" s="40" t="s">
        <v>3740</v>
      </c>
      <c r="J5" s="40" t="s">
        <v>335</v>
      </c>
      <c r="K5" s="40" t="n">
        <v>90</v>
      </c>
      <c r="L5" s="40" t="n">
        <v>18</v>
      </c>
      <c r="M5" s="40" t="s">
        <v>3741</v>
      </c>
      <c r="N5" s="40"/>
      <c r="O5" s="41"/>
      <c r="P5" s="41"/>
      <c r="Q5" s="41"/>
    </row>
    <row r="6" customFormat="false" ht="39" hidden="false" customHeight="true" outlineLevel="0" collapsed="false">
      <c r="A6" s="40" t="n">
        <v>2</v>
      </c>
      <c r="B6" s="40" t="s">
        <v>3738</v>
      </c>
      <c r="C6" s="40" t="s">
        <v>3742</v>
      </c>
      <c r="D6" s="40" t="s">
        <v>1341</v>
      </c>
      <c r="E6" s="40" t="s">
        <v>1342</v>
      </c>
      <c r="F6" s="40" t="n">
        <v>2023</v>
      </c>
      <c r="G6" s="40" t="s">
        <v>1343</v>
      </c>
      <c r="H6" s="40" t="s">
        <v>1344</v>
      </c>
      <c r="I6" s="40" t="s">
        <v>3743</v>
      </c>
      <c r="J6" s="40" t="s">
        <v>335</v>
      </c>
      <c r="K6" s="40" t="n">
        <v>29</v>
      </c>
      <c r="L6" s="40" t="n">
        <v>7.25</v>
      </c>
      <c r="M6" s="40" t="s">
        <v>3741</v>
      </c>
      <c r="N6" s="40"/>
      <c r="O6" s="41"/>
      <c r="P6" s="41"/>
      <c r="Q6" s="41"/>
    </row>
    <row r="7" customFormat="false" ht="51.75" hidden="false" customHeight="true" outlineLevel="0" collapsed="false">
      <c r="A7" s="40" t="n">
        <v>3</v>
      </c>
      <c r="B7" s="40" t="s">
        <v>3738</v>
      </c>
      <c r="C7" s="40" t="s">
        <v>3744</v>
      </c>
      <c r="D7" s="40" t="s">
        <v>3430</v>
      </c>
      <c r="E7" s="40" t="s">
        <v>3431</v>
      </c>
      <c r="F7" s="40" t="n">
        <v>2016</v>
      </c>
      <c r="G7" s="40" t="s">
        <v>3432</v>
      </c>
      <c r="H7" s="40" t="s">
        <v>3433</v>
      </c>
      <c r="I7" s="40" t="s">
        <v>3740</v>
      </c>
      <c r="J7" s="40" t="s">
        <v>335</v>
      </c>
      <c r="K7" s="40" t="n">
        <v>78</v>
      </c>
      <c r="L7" s="40" t="n">
        <v>7.09</v>
      </c>
      <c r="M7" s="40" t="s">
        <v>3741</v>
      </c>
      <c r="N7" s="40"/>
      <c r="O7" s="41"/>
      <c r="P7" s="41"/>
      <c r="Q7" s="41"/>
    </row>
    <row r="8" customFormat="false" ht="39" hidden="false" customHeight="true" outlineLevel="0" collapsed="false">
      <c r="A8" s="40" t="n">
        <v>4</v>
      </c>
      <c r="B8" s="40" t="s">
        <v>3738</v>
      </c>
      <c r="C8" s="40" t="s">
        <v>3745</v>
      </c>
      <c r="D8" s="40" t="s">
        <v>2137</v>
      </c>
      <c r="E8" s="40" t="s">
        <v>2138</v>
      </c>
      <c r="F8" s="40" t="n">
        <v>2019</v>
      </c>
      <c r="G8" s="40" t="s">
        <v>2139</v>
      </c>
      <c r="H8" s="40" t="s">
        <v>2140</v>
      </c>
      <c r="I8" s="40" t="s">
        <v>3743</v>
      </c>
      <c r="J8" s="40" t="s">
        <v>335</v>
      </c>
      <c r="K8" s="40" t="n">
        <v>55</v>
      </c>
      <c r="L8" s="40" t="n">
        <v>6.88</v>
      </c>
      <c r="M8" s="40" t="s">
        <v>3741</v>
      </c>
      <c r="N8" s="40"/>
      <c r="O8" s="41"/>
      <c r="P8" s="41"/>
      <c r="Q8" s="41"/>
    </row>
    <row r="9" customFormat="false" ht="51.75" hidden="false" customHeight="true" outlineLevel="0" collapsed="false">
      <c r="A9" s="40" t="n">
        <v>5</v>
      </c>
      <c r="B9" s="40" t="s">
        <v>3738</v>
      </c>
      <c r="C9" s="40" t="s">
        <v>3746</v>
      </c>
      <c r="D9" s="40" t="s">
        <v>1814</v>
      </c>
      <c r="E9" s="40" t="s">
        <v>1815</v>
      </c>
      <c r="F9" s="40" t="n">
        <v>2021</v>
      </c>
      <c r="G9" s="40" t="s">
        <v>1018</v>
      </c>
      <c r="H9" s="40" t="s">
        <v>1816</v>
      </c>
      <c r="I9" s="40" t="s">
        <v>409</v>
      </c>
      <c r="J9" s="40" t="s">
        <v>335</v>
      </c>
      <c r="K9" s="40" t="n">
        <v>37</v>
      </c>
      <c r="L9" s="40" t="n">
        <v>6.17</v>
      </c>
      <c r="M9" s="40" t="s">
        <v>3741</v>
      </c>
      <c r="N9" s="40"/>
      <c r="O9" s="41"/>
      <c r="P9" s="41"/>
      <c r="Q9" s="41"/>
    </row>
    <row r="10" customFormat="false" ht="39" hidden="false" customHeight="true" outlineLevel="0" collapsed="false">
      <c r="A10" s="40" t="n">
        <v>6</v>
      </c>
      <c r="B10" s="40" t="s">
        <v>3738</v>
      </c>
      <c r="C10" s="40" t="s">
        <v>3747</v>
      </c>
      <c r="D10" s="40" t="s">
        <v>3007</v>
      </c>
      <c r="E10" s="40" t="s">
        <v>3008</v>
      </c>
      <c r="F10" s="40" t="n">
        <v>2024</v>
      </c>
      <c r="G10" s="40" t="s">
        <v>2847</v>
      </c>
      <c r="H10" s="40" t="s">
        <v>3009</v>
      </c>
      <c r="I10" s="40" t="s">
        <v>3740</v>
      </c>
      <c r="J10" s="40" t="s">
        <v>335</v>
      </c>
      <c r="K10" s="40" t="n">
        <v>18</v>
      </c>
      <c r="L10" s="40" t="n">
        <v>6</v>
      </c>
      <c r="M10" s="40" t="s">
        <v>3741</v>
      </c>
      <c r="N10" s="40"/>
      <c r="O10" s="41"/>
      <c r="P10" s="41"/>
      <c r="Q10" s="41"/>
    </row>
    <row r="11" customFormat="false" ht="51.75" hidden="false" customHeight="true" outlineLevel="0" collapsed="false">
      <c r="A11" s="40" t="n">
        <v>7</v>
      </c>
      <c r="B11" s="40" t="s">
        <v>3738</v>
      </c>
      <c r="C11" s="40" t="s">
        <v>3748</v>
      </c>
      <c r="D11" s="40" t="s">
        <v>2040</v>
      </c>
      <c r="E11" s="40" t="s">
        <v>2041</v>
      </c>
      <c r="F11" s="40" t="n">
        <v>2019</v>
      </c>
      <c r="G11" s="40" t="s">
        <v>727</v>
      </c>
      <c r="H11" s="40" t="s">
        <v>2042</v>
      </c>
      <c r="I11" s="40" t="s">
        <v>3743</v>
      </c>
      <c r="J11" s="40" t="s">
        <v>335</v>
      </c>
      <c r="K11" s="40" t="n">
        <v>45</v>
      </c>
      <c r="L11" s="40" t="n">
        <v>5.62</v>
      </c>
      <c r="M11" s="40" t="s">
        <v>3741</v>
      </c>
      <c r="N11" s="40"/>
      <c r="O11" s="41"/>
      <c r="P11" s="41"/>
      <c r="Q11" s="41"/>
    </row>
    <row r="12" customFormat="false" ht="39" hidden="false" customHeight="true" outlineLevel="0" collapsed="false">
      <c r="A12" s="40" t="n">
        <v>8</v>
      </c>
      <c r="B12" s="40" t="s">
        <v>3738</v>
      </c>
      <c r="C12" s="40" t="s">
        <v>3749</v>
      </c>
      <c r="D12" s="40" t="s">
        <v>1777</v>
      </c>
      <c r="E12" s="40" t="s">
        <v>1778</v>
      </c>
      <c r="F12" s="40" t="n">
        <v>2021</v>
      </c>
      <c r="G12" s="40" t="s">
        <v>1779</v>
      </c>
      <c r="H12" s="40" t="s">
        <v>1780</v>
      </c>
      <c r="I12" s="40" t="s">
        <v>3743</v>
      </c>
      <c r="J12" s="40" t="s">
        <v>335</v>
      </c>
      <c r="K12" s="40" t="n">
        <v>30</v>
      </c>
      <c r="L12" s="40" t="n">
        <v>5</v>
      </c>
      <c r="M12" s="40" t="s">
        <v>3741</v>
      </c>
      <c r="N12" s="40"/>
      <c r="O12" s="41"/>
      <c r="P12" s="41"/>
      <c r="Q12" s="41"/>
    </row>
    <row r="13" customFormat="false" ht="39" hidden="false" customHeight="true" outlineLevel="0" collapsed="false">
      <c r="A13" s="40" t="n">
        <v>9</v>
      </c>
      <c r="B13" s="40" t="s">
        <v>3738</v>
      </c>
      <c r="C13" s="40" t="s">
        <v>3750</v>
      </c>
      <c r="D13" s="40" t="s">
        <v>2989</v>
      </c>
      <c r="E13" s="40" t="s">
        <v>2990</v>
      </c>
      <c r="F13" s="40" t="n">
        <v>2024</v>
      </c>
      <c r="G13" s="40" t="s">
        <v>23</v>
      </c>
      <c r="H13" s="40" t="s">
        <v>2991</v>
      </c>
      <c r="I13" s="40" t="s">
        <v>3740</v>
      </c>
      <c r="J13" s="40" t="s">
        <v>335</v>
      </c>
      <c r="K13" s="40" t="n">
        <v>12</v>
      </c>
      <c r="L13" s="40" t="n">
        <v>4</v>
      </c>
      <c r="M13" s="40" t="s">
        <v>3741</v>
      </c>
      <c r="N13" s="40"/>
      <c r="O13" s="41"/>
      <c r="P13" s="41"/>
      <c r="Q13" s="41"/>
    </row>
    <row r="14" customFormat="false" ht="51.75" hidden="false" customHeight="true" outlineLevel="0" collapsed="false">
      <c r="A14" s="40" t="n">
        <v>10</v>
      </c>
      <c r="B14" s="40" t="s">
        <v>3738</v>
      </c>
      <c r="C14" s="40" t="s">
        <v>3751</v>
      </c>
      <c r="D14" s="40" t="s">
        <v>984</v>
      </c>
      <c r="E14" s="40" t="s">
        <v>985</v>
      </c>
      <c r="F14" s="40" t="n">
        <v>2024</v>
      </c>
      <c r="G14" s="40" t="s">
        <v>986</v>
      </c>
      <c r="H14" s="40" t="s">
        <v>987</v>
      </c>
      <c r="I14" s="40" t="s">
        <v>3743</v>
      </c>
      <c r="J14" s="40" t="s">
        <v>335</v>
      </c>
      <c r="K14" s="40" t="n">
        <v>11</v>
      </c>
      <c r="L14" s="40" t="n">
        <v>3.67</v>
      </c>
      <c r="M14" s="40" t="s">
        <v>3741</v>
      </c>
      <c r="N14" s="40"/>
      <c r="O14" s="41"/>
      <c r="P14" s="41"/>
      <c r="Q14" s="41"/>
    </row>
    <row r="15" customFormat="false" ht="51.75" hidden="false" customHeight="true" outlineLevel="0" collapsed="false">
      <c r="A15" s="40" t="n">
        <v>11</v>
      </c>
      <c r="B15" s="40" t="s">
        <v>3738</v>
      </c>
      <c r="C15" s="40" t="s">
        <v>3752</v>
      </c>
      <c r="D15" s="40" t="s">
        <v>3315</v>
      </c>
      <c r="E15" s="40" t="s">
        <v>3316</v>
      </c>
      <c r="F15" s="40" t="n">
        <v>2019</v>
      </c>
      <c r="G15" s="40" t="s">
        <v>2976</v>
      </c>
      <c r="H15" s="40" t="s">
        <v>3317</v>
      </c>
      <c r="I15" s="40" t="s">
        <v>3740</v>
      </c>
      <c r="J15" s="40" t="s">
        <v>335</v>
      </c>
      <c r="K15" s="40" t="n">
        <v>27</v>
      </c>
      <c r="L15" s="40" t="n">
        <v>3.38</v>
      </c>
      <c r="M15" s="40" t="s">
        <v>3741</v>
      </c>
      <c r="N15" s="40"/>
      <c r="O15" s="41"/>
      <c r="P15" s="41"/>
      <c r="Q15" s="41"/>
    </row>
    <row r="16" customFormat="false" ht="39" hidden="false" customHeight="true" outlineLevel="0" collapsed="false">
      <c r="A16" s="40" t="n">
        <v>12</v>
      </c>
      <c r="B16" s="40" t="s">
        <v>3738</v>
      </c>
      <c r="C16" s="40" t="s">
        <v>3753</v>
      </c>
      <c r="D16" s="40" t="s">
        <v>345</v>
      </c>
      <c r="E16" s="40" t="s">
        <v>344</v>
      </c>
      <c r="F16" s="40" t="n">
        <v>2021</v>
      </c>
      <c r="G16" s="40" t="s">
        <v>346</v>
      </c>
      <c r="H16" s="40" t="s">
        <v>347</v>
      </c>
      <c r="I16" s="40" t="s">
        <v>409</v>
      </c>
      <c r="J16" s="40" t="s">
        <v>335</v>
      </c>
      <c r="K16" s="40" t="n">
        <v>20</v>
      </c>
      <c r="L16" s="40" t="n">
        <v>3.33</v>
      </c>
      <c r="M16" s="40" t="s">
        <v>3741</v>
      </c>
      <c r="N16" s="40"/>
      <c r="O16" s="41"/>
      <c r="P16" s="41"/>
      <c r="Q16" s="41"/>
    </row>
    <row r="17" customFormat="false" ht="39" hidden="false" customHeight="true" outlineLevel="0" collapsed="false">
      <c r="A17" s="40" t="n">
        <v>13</v>
      </c>
      <c r="B17" s="40" t="s">
        <v>3738</v>
      </c>
      <c r="C17" s="40" t="s">
        <v>3754</v>
      </c>
      <c r="D17" s="40" t="s">
        <v>1259</v>
      </c>
      <c r="E17" s="40" t="s">
        <v>1260</v>
      </c>
      <c r="F17" s="40" t="n">
        <v>2023</v>
      </c>
      <c r="G17" s="40" t="s">
        <v>1018</v>
      </c>
      <c r="H17" s="40" t="s">
        <v>1261</v>
      </c>
      <c r="I17" s="40" t="s">
        <v>409</v>
      </c>
      <c r="J17" s="40" t="s">
        <v>335</v>
      </c>
      <c r="K17" s="40" t="n">
        <v>13</v>
      </c>
      <c r="L17" s="40" t="n">
        <v>3.25</v>
      </c>
      <c r="M17" s="40" t="s">
        <v>3741</v>
      </c>
      <c r="N17" s="40"/>
      <c r="O17" s="41"/>
      <c r="P17" s="41"/>
      <c r="Q17" s="41"/>
    </row>
    <row r="18" customFormat="false" ht="51.75" hidden="false" customHeight="true" outlineLevel="0" collapsed="false">
      <c r="A18" s="40" t="n">
        <v>14</v>
      </c>
      <c r="B18" s="40" t="s">
        <v>3738</v>
      </c>
      <c r="C18" s="40" t="s">
        <v>3755</v>
      </c>
      <c r="D18" s="40" t="s">
        <v>3423</v>
      </c>
      <c r="E18" s="40" t="s">
        <v>3424</v>
      </c>
      <c r="F18" s="40" t="n">
        <v>2016</v>
      </c>
      <c r="G18" s="40" t="s">
        <v>3167</v>
      </c>
      <c r="H18" s="40" t="s">
        <v>3425</v>
      </c>
      <c r="I18" s="40" t="s">
        <v>3740</v>
      </c>
      <c r="J18" s="40" t="s">
        <v>335</v>
      </c>
      <c r="K18" s="40" t="n">
        <v>35</v>
      </c>
      <c r="L18" s="40" t="n">
        <v>3.18</v>
      </c>
      <c r="M18" s="40" t="s">
        <v>3741</v>
      </c>
      <c r="N18" s="40"/>
      <c r="O18" s="41"/>
      <c r="P18" s="41"/>
      <c r="Q18" s="41"/>
    </row>
    <row r="19" customFormat="false" ht="39" hidden="false" customHeight="true" outlineLevel="0" collapsed="false">
      <c r="A19" s="40" t="n">
        <v>15</v>
      </c>
      <c r="B19" s="40" t="s">
        <v>3738</v>
      </c>
      <c r="C19" s="40" t="s">
        <v>3756</v>
      </c>
      <c r="D19" s="40" t="s">
        <v>3282</v>
      </c>
      <c r="E19" s="40" t="s">
        <v>3283</v>
      </c>
      <c r="F19" s="40" t="n">
        <v>2019</v>
      </c>
      <c r="G19" s="40" t="s">
        <v>3284</v>
      </c>
      <c r="H19" s="40" t="s">
        <v>3285</v>
      </c>
      <c r="I19" s="40" t="s">
        <v>3740</v>
      </c>
      <c r="J19" s="40" t="s">
        <v>335</v>
      </c>
      <c r="K19" s="40" t="n">
        <v>21</v>
      </c>
      <c r="L19" s="40" t="n">
        <v>2.62</v>
      </c>
      <c r="M19" s="40" t="s">
        <v>3741</v>
      </c>
      <c r="N19" s="40"/>
      <c r="O19" s="41"/>
      <c r="P19" s="41"/>
      <c r="Q19" s="41"/>
    </row>
    <row r="20" customFormat="false" ht="39" hidden="false" customHeight="true" outlineLevel="0" collapsed="false">
      <c r="A20" s="40" t="n">
        <v>16</v>
      </c>
      <c r="B20" s="40" t="s">
        <v>3738</v>
      </c>
      <c r="C20" s="40" t="s">
        <v>3757</v>
      </c>
      <c r="D20" s="40" t="s">
        <v>978</v>
      </c>
      <c r="E20" s="40" t="s">
        <v>979</v>
      </c>
      <c r="F20" s="40" t="n">
        <v>2024</v>
      </c>
      <c r="G20" s="40" t="s">
        <v>980</v>
      </c>
      <c r="H20" s="40" t="s">
        <v>981</v>
      </c>
      <c r="I20" s="40" t="s">
        <v>3743</v>
      </c>
      <c r="J20" s="40" t="s">
        <v>335</v>
      </c>
      <c r="K20" s="40" t="n">
        <v>7</v>
      </c>
      <c r="L20" s="40" t="n">
        <v>2.33</v>
      </c>
      <c r="M20" s="40" t="s">
        <v>3741</v>
      </c>
      <c r="N20" s="40"/>
      <c r="O20" s="41"/>
      <c r="P20" s="41"/>
      <c r="Q20" s="41"/>
    </row>
    <row r="21" customFormat="false" ht="25.5" hidden="false" customHeight="true" outlineLevel="0" collapsed="false">
      <c r="A21" s="40" t="n">
        <v>17</v>
      </c>
      <c r="B21" s="40" t="s">
        <v>3738</v>
      </c>
      <c r="C21" s="40" t="s">
        <v>3758</v>
      </c>
      <c r="D21" s="40" t="s">
        <v>1084</v>
      </c>
      <c r="E21" s="40" t="s">
        <v>1085</v>
      </c>
      <c r="F21" s="40" t="n">
        <v>2024</v>
      </c>
      <c r="G21" s="40" t="s">
        <v>1086</v>
      </c>
      <c r="H21" s="40" t="s">
        <v>1087</v>
      </c>
      <c r="I21" s="40" t="s">
        <v>3743</v>
      </c>
      <c r="J21" s="40" t="s">
        <v>335</v>
      </c>
      <c r="K21" s="40" t="n">
        <v>7</v>
      </c>
      <c r="L21" s="40" t="n">
        <v>2.33</v>
      </c>
      <c r="M21" s="40" t="s">
        <v>3741</v>
      </c>
      <c r="N21" s="40"/>
      <c r="O21" s="41"/>
      <c r="P21" s="41"/>
      <c r="Q21" s="41"/>
    </row>
    <row r="22" customFormat="false" ht="39" hidden="false" customHeight="true" outlineLevel="0" collapsed="false">
      <c r="A22" s="40" t="n">
        <v>18</v>
      </c>
      <c r="B22" s="40" t="s">
        <v>3738</v>
      </c>
      <c r="C22" s="40" t="s">
        <v>3759</v>
      </c>
      <c r="D22" s="40" t="s">
        <v>1135</v>
      </c>
      <c r="E22" s="40" t="s">
        <v>1136</v>
      </c>
      <c r="F22" s="40" t="n">
        <v>2024</v>
      </c>
      <c r="G22" s="40" t="s">
        <v>123</v>
      </c>
      <c r="H22" s="40" t="s">
        <v>1137</v>
      </c>
      <c r="I22" s="40" t="s">
        <v>409</v>
      </c>
      <c r="J22" s="40" t="s">
        <v>335</v>
      </c>
      <c r="K22" s="40" t="n">
        <v>7</v>
      </c>
      <c r="L22" s="40" t="n">
        <v>2.33</v>
      </c>
      <c r="M22" s="40" t="s">
        <v>3741</v>
      </c>
      <c r="N22" s="40"/>
      <c r="O22" s="41"/>
      <c r="P22" s="41"/>
      <c r="Q22" s="41"/>
    </row>
    <row r="23" customFormat="false" ht="25.5" hidden="false" customHeight="true" outlineLevel="0" collapsed="false">
      <c r="A23" s="40" t="n">
        <v>19</v>
      </c>
      <c r="B23" s="40" t="s">
        <v>3738</v>
      </c>
      <c r="C23" s="40" t="s">
        <v>3760</v>
      </c>
      <c r="D23" s="40" t="s">
        <v>1864</v>
      </c>
      <c r="E23" s="40" t="s">
        <v>1865</v>
      </c>
      <c r="F23" s="40" t="n">
        <v>2020</v>
      </c>
      <c r="G23" s="40" t="s">
        <v>980</v>
      </c>
      <c r="H23" s="40" t="s">
        <v>1866</v>
      </c>
      <c r="I23" s="40" t="s">
        <v>3743</v>
      </c>
      <c r="J23" s="40" t="s">
        <v>335</v>
      </c>
      <c r="K23" s="40" t="n">
        <v>14</v>
      </c>
      <c r="L23" s="40" t="n">
        <v>2</v>
      </c>
      <c r="M23" s="40" t="s">
        <v>3741</v>
      </c>
      <c r="N23" s="40"/>
      <c r="O23" s="41"/>
      <c r="P23" s="41"/>
      <c r="Q23" s="41"/>
    </row>
    <row r="24" customFormat="false" ht="25.5" hidden="false" customHeight="true" outlineLevel="0" collapsed="false">
      <c r="A24" s="40" t="n">
        <v>20</v>
      </c>
      <c r="B24" s="40" t="s">
        <v>3738</v>
      </c>
      <c r="C24" s="40" t="s">
        <v>3761</v>
      </c>
      <c r="D24" s="40" t="s">
        <v>1683</v>
      </c>
      <c r="E24" s="40" t="s">
        <v>1684</v>
      </c>
      <c r="F24" s="40" t="n">
        <v>2021</v>
      </c>
      <c r="G24" s="40" t="s">
        <v>1234</v>
      </c>
      <c r="H24" s="40" t="s">
        <v>1685</v>
      </c>
      <c r="I24" s="40" t="s">
        <v>3743</v>
      </c>
      <c r="J24" s="40" t="s">
        <v>335</v>
      </c>
      <c r="K24" s="40" t="n">
        <v>10</v>
      </c>
      <c r="L24" s="40" t="n">
        <v>1.67</v>
      </c>
      <c r="M24" s="40" t="s">
        <v>3741</v>
      </c>
      <c r="N24" s="40"/>
      <c r="O24" s="41"/>
      <c r="P24" s="41"/>
      <c r="Q24" s="41"/>
    </row>
    <row r="25" customFormat="false" ht="39" hidden="false" customHeight="true" outlineLevel="0" collapsed="false">
      <c r="A25" s="40" t="n">
        <v>21</v>
      </c>
      <c r="B25" s="40" t="s">
        <v>3738</v>
      </c>
      <c r="C25" s="40" t="s">
        <v>3762</v>
      </c>
      <c r="D25" s="40" t="s">
        <v>807</v>
      </c>
      <c r="E25" s="40" t="s">
        <v>808</v>
      </c>
      <c r="F25" s="40" t="n">
        <v>2025</v>
      </c>
      <c r="G25" s="40" t="s">
        <v>532</v>
      </c>
      <c r="H25" s="40" t="s">
        <v>809</v>
      </c>
      <c r="I25" s="40" t="s">
        <v>409</v>
      </c>
      <c r="J25" s="40" t="s">
        <v>335</v>
      </c>
      <c r="K25" s="40" t="n">
        <v>3</v>
      </c>
      <c r="L25" s="40" t="n">
        <v>1.5</v>
      </c>
      <c r="M25" s="40" t="s">
        <v>3741</v>
      </c>
      <c r="N25" s="40"/>
      <c r="O25" s="41"/>
      <c r="P25" s="41"/>
      <c r="Q25" s="41"/>
    </row>
    <row r="26" customFormat="false" ht="25.5" hidden="false" customHeight="true" outlineLevel="0" collapsed="false">
      <c r="A26" s="40" t="n">
        <v>22</v>
      </c>
      <c r="B26" s="40" t="s">
        <v>3738</v>
      </c>
      <c r="C26" s="40" t="s">
        <v>3763</v>
      </c>
      <c r="D26" s="40" t="s">
        <v>851</v>
      </c>
      <c r="E26" s="40" t="s">
        <v>852</v>
      </c>
      <c r="F26" s="40" t="n">
        <v>2025</v>
      </c>
      <c r="G26" s="40" t="s">
        <v>803</v>
      </c>
      <c r="H26" s="40" t="s">
        <v>853</v>
      </c>
      <c r="I26" s="40" t="s">
        <v>409</v>
      </c>
      <c r="J26" s="40" t="s">
        <v>335</v>
      </c>
      <c r="K26" s="40" t="n">
        <v>3</v>
      </c>
      <c r="L26" s="40" t="n">
        <v>1.5</v>
      </c>
      <c r="M26" s="40" t="s">
        <v>3741</v>
      </c>
      <c r="N26" s="40"/>
      <c r="O26" s="41"/>
      <c r="P26" s="41"/>
      <c r="Q26" s="41"/>
    </row>
    <row r="27" customFormat="false" ht="51.75" hidden="false" customHeight="true" outlineLevel="0" collapsed="false">
      <c r="A27" s="40" t="n">
        <v>23</v>
      </c>
      <c r="B27" s="40" t="s">
        <v>3738</v>
      </c>
      <c r="C27" s="40" t="s">
        <v>3764</v>
      </c>
      <c r="D27" s="40" t="s">
        <v>1270</v>
      </c>
      <c r="E27" s="40" t="s">
        <v>1271</v>
      </c>
      <c r="F27" s="40" t="n">
        <v>2023</v>
      </c>
      <c r="G27" s="40" t="s">
        <v>1272</v>
      </c>
      <c r="H27" s="40" t="s">
        <v>1273</v>
      </c>
      <c r="I27" s="40" t="s">
        <v>3743</v>
      </c>
      <c r="J27" s="40" t="s">
        <v>335</v>
      </c>
      <c r="K27" s="40" t="n">
        <v>6</v>
      </c>
      <c r="L27" s="40" t="n">
        <v>1.5</v>
      </c>
      <c r="M27" s="40" t="s">
        <v>3741</v>
      </c>
      <c r="N27" s="40"/>
      <c r="O27" s="41"/>
      <c r="P27" s="41"/>
      <c r="Q27" s="41"/>
    </row>
    <row r="28" customFormat="false" ht="25.5" hidden="false" customHeight="true" outlineLevel="0" collapsed="false">
      <c r="A28" s="40" t="n">
        <v>24</v>
      </c>
      <c r="B28" s="40" t="s">
        <v>3738</v>
      </c>
      <c r="C28" s="40" t="s">
        <v>3765</v>
      </c>
      <c r="D28" s="40" t="s">
        <v>1808</v>
      </c>
      <c r="E28" s="40" t="s">
        <v>1809</v>
      </c>
      <c r="F28" s="40" t="n">
        <v>2021</v>
      </c>
      <c r="G28" s="40" t="s">
        <v>1810</v>
      </c>
      <c r="H28" s="40" t="s">
        <v>1811</v>
      </c>
      <c r="I28" s="40" t="s">
        <v>409</v>
      </c>
      <c r="J28" s="40" t="s">
        <v>335</v>
      </c>
      <c r="K28" s="40" t="n">
        <v>8</v>
      </c>
      <c r="L28" s="40" t="n">
        <v>1.33</v>
      </c>
      <c r="M28" s="40" t="s">
        <v>3741</v>
      </c>
      <c r="N28" s="40"/>
      <c r="O28" s="41"/>
      <c r="P28" s="41"/>
      <c r="Q28" s="41"/>
    </row>
    <row r="29" customFormat="false" ht="39" hidden="false" customHeight="true" outlineLevel="0" collapsed="false">
      <c r="A29" s="40" t="n">
        <v>25</v>
      </c>
      <c r="B29" s="40" t="s">
        <v>3738</v>
      </c>
      <c r="C29" s="40" t="s">
        <v>3766</v>
      </c>
      <c r="D29" s="40" t="s">
        <v>2713</v>
      </c>
      <c r="E29" s="40" t="s">
        <v>2714</v>
      </c>
      <c r="F29" s="40" t="n">
        <v>2026</v>
      </c>
      <c r="G29" s="40" t="s">
        <v>2715</v>
      </c>
      <c r="H29" s="40" t="s">
        <v>2716</v>
      </c>
      <c r="I29" s="40" t="s">
        <v>3767</v>
      </c>
      <c r="J29" s="40" t="s">
        <v>335</v>
      </c>
      <c r="K29" s="40" t="n">
        <v>1</v>
      </c>
      <c r="L29" s="40" t="n">
        <v>1</v>
      </c>
      <c r="M29" s="40" t="s">
        <v>3741</v>
      </c>
      <c r="N29" s="40"/>
      <c r="O29" s="41"/>
      <c r="P29" s="41"/>
      <c r="Q29" s="41"/>
    </row>
    <row r="30" customFormat="false" ht="51.75" hidden="false" customHeight="true" outlineLevel="0" collapsed="false">
      <c r="A30" s="40" t="n">
        <v>26</v>
      </c>
      <c r="B30" s="40" t="s">
        <v>3738</v>
      </c>
      <c r="C30" s="40" t="s">
        <v>3768</v>
      </c>
      <c r="D30" s="40" t="s">
        <v>1409</v>
      </c>
      <c r="E30" s="40" t="s">
        <v>1410</v>
      </c>
      <c r="F30" s="40" t="n">
        <v>2023</v>
      </c>
      <c r="G30" s="40" t="s">
        <v>1371</v>
      </c>
      <c r="H30" s="40" t="s">
        <v>1411</v>
      </c>
      <c r="I30" s="40" t="s">
        <v>409</v>
      </c>
      <c r="J30" s="40" t="s">
        <v>335</v>
      </c>
      <c r="K30" s="40" t="n">
        <v>4</v>
      </c>
      <c r="L30" s="40" t="n">
        <v>1</v>
      </c>
      <c r="M30" s="40" t="s">
        <v>3741</v>
      </c>
      <c r="N30" s="40"/>
      <c r="O30" s="41"/>
      <c r="P30" s="41"/>
      <c r="Q30" s="41"/>
    </row>
    <row r="31" customFormat="false" ht="39" hidden="false" customHeight="true" outlineLevel="0" collapsed="false">
      <c r="A31" s="40" t="n">
        <v>27</v>
      </c>
      <c r="B31" s="40" t="s">
        <v>3738</v>
      </c>
      <c r="C31" s="40" t="s">
        <v>3769</v>
      </c>
      <c r="D31" s="40" t="s">
        <v>1943</v>
      </c>
      <c r="E31" s="40" t="s">
        <v>1944</v>
      </c>
      <c r="F31" s="40" t="n">
        <v>2020</v>
      </c>
      <c r="G31" s="40" t="s">
        <v>1945</v>
      </c>
      <c r="H31" s="40" t="s">
        <v>1946</v>
      </c>
      <c r="I31" s="40" t="s">
        <v>409</v>
      </c>
      <c r="J31" s="40" t="s">
        <v>335</v>
      </c>
      <c r="K31" s="40" t="n">
        <v>5</v>
      </c>
      <c r="L31" s="40" t="n">
        <v>0.71</v>
      </c>
      <c r="M31" s="40" t="s">
        <v>3741</v>
      </c>
      <c r="N31" s="40"/>
      <c r="O31" s="41"/>
      <c r="P31" s="41"/>
      <c r="Q31" s="41"/>
    </row>
    <row r="32" customFormat="false" ht="51.75" hidden="false" customHeight="true" outlineLevel="0" collapsed="false">
      <c r="A32" s="40" t="n">
        <v>28</v>
      </c>
      <c r="B32" s="40" t="s">
        <v>3738</v>
      </c>
      <c r="C32" s="40" t="s">
        <v>3770</v>
      </c>
      <c r="D32" s="40" t="s">
        <v>349</v>
      </c>
      <c r="E32" s="40" t="s">
        <v>348</v>
      </c>
      <c r="F32" s="40" t="n">
        <v>2017</v>
      </c>
      <c r="G32" s="40" t="s">
        <v>350</v>
      </c>
      <c r="H32" s="40"/>
      <c r="I32" s="40" t="s">
        <v>3740</v>
      </c>
      <c r="J32" s="40" t="s">
        <v>335</v>
      </c>
      <c r="K32" s="40" t="n">
        <v>7</v>
      </c>
      <c r="L32" s="40" t="n">
        <v>0.7</v>
      </c>
      <c r="M32" s="40" t="s">
        <v>3741</v>
      </c>
      <c r="N32" s="40"/>
      <c r="O32" s="41"/>
      <c r="P32" s="41"/>
      <c r="Q32" s="41"/>
    </row>
    <row r="33" customFormat="false" ht="39" hidden="false" customHeight="true" outlineLevel="0" collapsed="false">
      <c r="A33" s="40" t="n">
        <v>29</v>
      </c>
      <c r="B33" s="40" t="s">
        <v>3738</v>
      </c>
      <c r="C33" s="40" t="s">
        <v>3771</v>
      </c>
      <c r="D33" s="40" t="s">
        <v>2384</v>
      </c>
      <c r="E33" s="40" t="s">
        <v>2385</v>
      </c>
      <c r="F33" s="40" t="n">
        <v>2017</v>
      </c>
      <c r="G33" s="40" t="s">
        <v>58</v>
      </c>
      <c r="H33" s="40" t="s">
        <v>2386</v>
      </c>
      <c r="I33" s="40" t="s">
        <v>3743</v>
      </c>
      <c r="J33" s="40" t="s">
        <v>335</v>
      </c>
      <c r="K33" s="40" t="n">
        <v>7</v>
      </c>
      <c r="L33" s="40" t="n">
        <v>0.7</v>
      </c>
      <c r="M33" s="40" t="s">
        <v>3741</v>
      </c>
      <c r="N33" s="40"/>
      <c r="O33" s="41"/>
      <c r="P33" s="41"/>
      <c r="Q33" s="41"/>
    </row>
    <row r="34" customFormat="false" ht="51.75" hidden="false" customHeight="true" outlineLevel="0" collapsed="false">
      <c r="A34" s="40" t="n">
        <v>30</v>
      </c>
      <c r="B34" s="40" t="s">
        <v>3738</v>
      </c>
      <c r="C34" s="40" t="s">
        <v>3772</v>
      </c>
      <c r="D34" s="40" t="s">
        <v>2748</v>
      </c>
      <c r="E34" s="40" t="s">
        <v>2749</v>
      </c>
      <c r="F34" s="40" t="n">
        <v>2025</v>
      </c>
      <c r="G34" s="40" t="s">
        <v>2750</v>
      </c>
      <c r="H34" s="40" t="s">
        <v>2751</v>
      </c>
      <c r="I34" s="40" t="s">
        <v>3767</v>
      </c>
      <c r="J34" s="40" t="s">
        <v>335</v>
      </c>
      <c r="K34" s="40" t="n">
        <v>1</v>
      </c>
      <c r="L34" s="40" t="n">
        <v>0.5</v>
      </c>
      <c r="M34" s="40" t="s">
        <v>3741</v>
      </c>
      <c r="N34" s="40"/>
      <c r="O34" s="41"/>
      <c r="P34" s="41"/>
      <c r="Q34" s="41"/>
    </row>
    <row r="35" customFormat="false" ht="25.5" hidden="false" customHeight="true" outlineLevel="0" collapsed="false">
      <c r="A35" s="40" t="n">
        <v>31</v>
      </c>
      <c r="B35" s="40" t="s">
        <v>3738</v>
      </c>
      <c r="C35" s="40" t="s">
        <v>3773</v>
      </c>
      <c r="D35" s="40" t="s">
        <v>3142</v>
      </c>
      <c r="E35" s="40" t="s">
        <v>3143</v>
      </c>
      <c r="F35" s="40" t="n">
        <v>2021</v>
      </c>
      <c r="G35" s="40" t="s">
        <v>3144</v>
      </c>
      <c r="H35" s="40" t="s">
        <v>3145</v>
      </c>
      <c r="I35" s="40" t="s">
        <v>3740</v>
      </c>
      <c r="J35" s="40" t="s">
        <v>335</v>
      </c>
      <c r="K35" s="40" t="n">
        <v>3</v>
      </c>
      <c r="L35" s="40" t="n">
        <v>0.5</v>
      </c>
      <c r="M35" s="40" t="s">
        <v>3741</v>
      </c>
      <c r="N35" s="40"/>
      <c r="O35" s="41"/>
      <c r="P35" s="41"/>
      <c r="Q35" s="41"/>
    </row>
    <row r="36" customFormat="false" ht="51.75" hidden="false" customHeight="true" outlineLevel="0" collapsed="false">
      <c r="A36" s="40" t="n">
        <v>32</v>
      </c>
      <c r="B36" s="40" t="s">
        <v>3738</v>
      </c>
      <c r="C36" s="40" t="s">
        <v>3774</v>
      </c>
      <c r="D36" s="40" t="s">
        <v>3309</v>
      </c>
      <c r="E36" s="40" t="s">
        <v>3310</v>
      </c>
      <c r="F36" s="40" t="n">
        <v>2019</v>
      </c>
      <c r="G36" s="40" t="s">
        <v>3311</v>
      </c>
      <c r="H36" s="40" t="s">
        <v>3312</v>
      </c>
      <c r="I36" s="40" t="s">
        <v>3740</v>
      </c>
      <c r="J36" s="40" t="s">
        <v>335</v>
      </c>
      <c r="K36" s="40" t="n">
        <v>4</v>
      </c>
      <c r="L36" s="40" t="n">
        <v>0.5</v>
      </c>
      <c r="M36" s="40" t="s">
        <v>3741</v>
      </c>
      <c r="N36" s="40"/>
      <c r="O36" s="41"/>
      <c r="P36" s="41"/>
      <c r="Q36" s="41"/>
    </row>
    <row r="37" customFormat="false" ht="39" hidden="false" customHeight="true" outlineLevel="0" collapsed="false">
      <c r="A37" s="40" t="n">
        <v>33</v>
      </c>
      <c r="B37" s="40" t="s">
        <v>3738</v>
      </c>
      <c r="C37" s="40" t="s">
        <v>3775</v>
      </c>
      <c r="D37" s="40" t="s">
        <v>2685</v>
      </c>
      <c r="E37" s="40" t="s">
        <v>2686</v>
      </c>
      <c r="F37" s="40" t="n">
        <v>2016</v>
      </c>
      <c r="G37" s="40" t="s">
        <v>954</v>
      </c>
      <c r="H37" s="40" t="s">
        <v>2687</v>
      </c>
      <c r="I37" s="40" t="s">
        <v>409</v>
      </c>
      <c r="J37" s="40" t="s">
        <v>335</v>
      </c>
      <c r="K37" s="40" t="n">
        <v>5</v>
      </c>
      <c r="L37" s="40" t="n">
        <v>0.45</v>
      </c>
      <c r="M37" s="40" t="s">
        <v>3741</v>
      </c>
      <c r="N37" s="40"/>
      <c r="O37" s="41"/>
      <c r="P37" s="41"/>
      <c r="Q37" s="41"/>
    </row>
    <row r="38" customFormat="false" ht="39" hidden="false" customHeight="true" outlineLevel="0" collapsed="false">
      <c r="A38" s="40" t="n">
        <v>34</v>
      </c>
      <c r="B38" s="40" t="s">
        <v>3738</v>
      </c>
      <c r="C38" s="40" t="s">
        <v>3776</v>
      </c>
      <c r="D38" s="40" t="s">
        <v>1187</v>
      </c>
      <c r="E38" s="40" t="s">
        <v>1188</v>
      </c>
      <c r="F38" s="40" t="n">
        <v>2024</v>
      </c>
      <c r="G38" s="40" t="s">
        <v>123</v>
      </c>
      <c r="H38" s="40" t="s">
        <v>1189</v>
      </c>
      <c r="I38" s="40" t="s">
        <v>409</v>
      </c>
      <c r="J38" s="40" t="s">
        <v>335</v>
      </c>
      <c r="K38" s="40" t="n">
        <v>1</v>
      </c>
      <c r="L38" s="40" t="n">
        <v>0.33</v>
      </c>
      <c r="M38" s="40" t="s">
        <v>3741</v>
      </c>
      <c r="N38" s="40"/>
      <c r="O38" s="41"/>
      <c r="P38" s="41"/>
      <c r="Q38" s="41"/>
    </row>
    <row r="39" customFormat="false" ht="39" hidden="false" customHeight="true" outlineLevel="0" collapsed="false">
      <c r="A39" s="40" t="n">
        <v>35</v>
      </c>
      <c r="B39" s="40" t="s">
        <v>3738</v>
      </c>
      <c r="C39" s="40" t="s">
        <v>3777</v>
      </c>
      <c r="D39" s="40" t="s">
        <v>3148</v>
      </c>
      <c r="E39" s="40" t="s">
        <v>3149</v>
      </c>
      <c r="F39" s="40" t="n">
        <v>2021</v>
      </c>
      <c r="G39" s="40" t="s">
        <v>3150</v>
      </c>
      <c r="H39" s="40" t="s">
        <v>3151</v>
      </c>
      <c r="I39" s="40" t="s">
        <v>3740</v>
      </c>
      <c r="J39" s="40" t="s">
        <v>335</v>
      </c>
      <c r="K39" s="40" t="n">
        <v>2</v>
      </c>
      <c r="L39" s="40" t="n">
        <v>0.33</v>
      </c>
      <c r="M39" s="40" t="s">
        <v>3741</v>
      </c>
      <c r="N39" s="40"/>
      <c r="O39" s="41"/>
      <c r="P39" s="41"/>
      <c r="Q39" s="41"/>
    </row>
    <row r="40" customFormat="false" ht="25.5" hidden="false" customHeight="true" outlineLevel="0" collapsed="false">
      <c r="A40" s="40" t="n">
        <v>36</v>
      </c>
      <c r="B40" s="40" t="s">
        <v>3738</v>
      </c>
      <c r="C40" s="40" t="s">
        <v>3778</v>
      </c>
      <c r="D40" s="40" t="s">
        <v>2630</v>
      </c>
      <c r="E40" s="40" t="s">
        <v>2631</v>
      </c>
      <c r="F40" s="40" t="n">
        <v>2016</v>
      </c>
      <c r="G40" s="40" t="s">
        <v>876</v>
      </c>
      <c r="H40" s="40"/>
      <c r="I40" s="40" t="s">
        <v>409</v>
      </c>
      <c r="J40" s="40" t="s">
        <v>335</v>
      </c>
      <c r="K40" s="40" t="n">
        <v>3</v>
      </c>
      <c r="L40" s="40" t="n">
        <v>0.27</v>
      </c>
      <c r="M40" s="40" t="s">
        <v>3741</v>
      </c>
      <c r="N40" s="40"/>
      <c r="O40" s="41"/>
      <c r="P40" s="41"/>
      <c r="Q40" s="41"/>
    </row>
    <row r="41" customFormat="false" ht="39" hidden="false" customHeight="true" outlineLevel="0" collapsed="false">
      <c r="A41" s="40" t="n">
        <v>37</v>
      </c>
      <c r="B41" s="40" t="s">
        <v>3738</v>
      </c>
      <c r="C41" s="40" t="s">
        <v>3779</v>
      </c>
      <c r="D41" s="40" t="s">
        <v>1688</v>
      </c>
      <c r="E41" s="40" t="s">
        <v>1689</v>
      </c>
      <c r="F41" s="40" t="n">
        <v>2021</v>
      </c>
      <c r="G41" s="40" t="s">
        <v>876</v>
      </c>
      <c r="H41" s="40"/>
      <c r="I41" s="40" t="s">
        <v>409</v>
      </c>
      <c r="J41" s="40" t="s">
        <v>335</v>
      </c>
      <c r="K41" s="40" t="n">
        <v>1</v>
      </c>
      <c r="L41" s="40" t="n">
        <v>0.17</v>
      </c>
      <c r="M41" s="40" t="s">
        <v>3741</v>
      </c>
      <c r="N41" s="40"/>
      <c r="O41" s="41"/>
      <c r="P41" s="41"/>
      <c r="Q41" s="41"/>
    </row>
    <row r="42" customFormat="false" ht="78" hidden="false" customHeight="true" outlineLevel="0" collapsed="false">
      <c r="A42" s="40" t="n">
        <v>38</v>
      </c>
      <c r="B42" s="40" t="s">
        <v>3738</v>
      </c>
      <c r="C42" s="40" t="s">
        <v>3780</v>
      </c>
      <c r="D42" s="40" t="s">
        <v>2501</v>
      </c>
      <c r="E42" s="40" t="s">
        <v>2502</v>
      </c>
      <c r="F42" s="40" t="n">
        <v>2017</v>
      </c>
      <c r="G42" s="40" t="s">
        <v>288</v>
      </c>
      <c r="H42" s="40" t="s">
        <v>2503</v>
      </c>
      <c r="I42" s="40" t="s">
        <v>409</v>
      </c>
      <c r="J42" s="40" t="s">
        <v>335</v>
      </c>
      <c r="K42" s="40" t="n">
        <v>1</v>
      </c>
      <c r="L42" s="40" t="n">
        <v>0.1</v>
      </c>
      <c r="M42" s="40" t="s">
        <v>3741</v>
      </c>
      <c r="N42" s="40"/>
      <c r="O42" s="41"/>
      <c r="P42" s="41"/>
      <c r="Q42" s="41"/>
    </row>
    <row r="43" customFormat="false" ht="64.5" hidden="false" customHeight="true" outlineLevel="0" collapsed="false">
      <c r="A43" s="40" t="n">
        <v>39</v>
      </c>
      <c r="B43" s="40" t="s">
        <v>3738</v>
      </c>
      <c r="C43" s="40" t="s">
        <v>3781</v>
      </c>
      <c r="D43" s="40" t="s">
        <v>578</v>
      </c>
      <c r="E43" s="40" t="s">
        <v>579</v>
      </c>
      <c r="F43" s="40" t="n">
        <v>2026</v>
      </c>
      <c r="G43" s="40" t="s">
        <v>580</v>
      </c>
      <c r="H43" s="40" t="s">
        <v>581</v>
      </c>
      <c r="I43" s="40" t="s">
        <v>409</v>
      </c>
      <c r="J43" s="40" t="s">
        <v>335</v>
      </c>
      <c r="K43" s="40" t="n">
        <v>0</v>
      </c>
      <c r="L43" s="40" t="n">
        <v>0</v>
      </c>
      <c r="M43" s="40" t="s">
        <v>3741</v>
      </c>
      <c r="N43" s="40"/>
      <c r="O43" s="41"/>
      <c r="P43" s="41"/>
      <c r="Q43" s="41"/>
    </row>
    <row r="44" customFormat="false" ht="64.5" hidden="false" customHeight="true" outlineLevel="0" collapsed="false">
      <c r="A44" s="40" t="n">
        <v>40</v>
      </c>
      <c r="B44" s="40" t="s">
        <v>3738</v>
      </c>
      <c r="C44" s="40" t="s">
        <v>3782</v>
      </c>
      <c r="D44" s="40" t="s">
        <v>634</v>
      </c>
      <c r="E44" s="40" t="s">
        <v>635</v>
      </c>
      <c r="F44" s="40" t="n">
        <v>2026</v>
      </c>
      <c r="G44" s="40" t="s">
        <v>636</v>
      </c>
      <c r="H44" s="40" t="s">
        <v>637</v>
      </c>
      <c r="I44" s="40" t="s">
        <v>3743</v>
      </c>
      <c r="J44" s="40" t="s">
        <v>335</v>
      </c>
      <c r="K44" s="40" t="n">
        <v>0</v>
      </c>
      <c r="L44" s="40" t="n">
        <v>0</v>
      </c>
      <c r="M44" s="40" t="s">
        <v>3741</v>
      </c>
      <c r="N44" s="40"/>
      <c r="O44" s="41"/>
      <c r="P44" s="41"/>
      <c r="Q44" s="41"/>
    </row>
    <row r="45" customFormat="false" ht="39" hidden="false" customHeight="true" outlineLevel="0" collapsed="false">
      <c r="A45" s="40" t="n">
        <v>41</v>
      </c>
      <c r="B45" s="40" t="s">
        <v>3738</v>
      </c>
      <c r="C45" s="40" t="s">
        <v>3783</v>
      </c>
      <c r="D45" s="40" t="s">
        <v>332</v>
      </c>
      <c r="E45" s="40" t="s">
        <v>331</v>
      </c>
      <c r="F45" s="40" t="n">
        <v>2026</v>
      </c>
      <c r="G45" s="40" t="s">
        <v>333</v>
      </c>
      <c r="H45" s="40" t="s">
        <v>334</v>
      </c>
      <c r="I45" s="40" t="s">
        <v>3767</v>
      </c>
      <c r="J45" s="40" t="s">
        <v>335</v>
      </c>
      <c r="K45" s="40" t="n">
        <v>0</v>
      </c>
      <c r="L45" s="40" t="n">
        <v>0</v>
      </c>
      <c r="M45" s="40" t="s">
        <v>3741</v>
      </c>
      <c r="N45" s="40"/>
      <c r="O45" s="41"/>
      <c r="P45" s="41"/>
      <c r="Q45" s="41"/>
    </row>
    <row r="46" customFormat="false" ht="39" hidden="false" customHeight="true" outlineLevel="0" collapsed="false">
      <c r="A46" s="40" t="n">
        <v>42</v>
      </c>
      <c r="B46" s="40" t="s">
        <v>3738</v>
      </c>
      <c r="C46" s="40" t="s">
        <v>3784</v>
      </c>
      <c r="D46" s="40" t="s">
        <v>686</v>
      </c>
      <c r="E46" s="40" t="s">
        <v>721</v>
      </c>
      <c r="F46" s="40" t="n">
        <v>2026</v>
      </c>
      <c r="G46" s="40" t="s">
        <v>722</v>
      </c>
      <c r="H46" s="40" t="s">
        <v>723</v>
      </c>
      <c r="I46" s="40" t="s">
        <v>3743</v>
      </c>
      <c r="J46" s="40" t="s">
        <v>335</v>
      </c>
      <c r="K46" s="40" t="n">
        <v>0</v>
      </c>
      <c r="L46" s="40" t="n">
        <v>0</v>
      </c>
      <c r="M46" s="40" t="s">
        <v>3741</v>
      </c>
      <c r="N46" s="40"/>
      <c r="O46" s="41"/>
      <c r="P46" s="41"/>
      <c r="Q46" s="41"/>
    </row>
    <row r="47" customFormat="false" ht="78" hidden="false" customHeight="true" outlineLevel="0" collapsed="false">
      <c r="A47" s="40" t="n">
        <v>43</v>
      </c>
      <c r="B47" s="40" t="s">
        <v>3738</v>
      </c>
      <c r="C47" s="40" t="s">
        <v>3785</v>
      </c>
      <c r="D47" s="40" t="s">
        <v>2732</v>
      </c>
      <c r="E47" s="40" t="s">
        <v>2733</v>
      </c>
      <c r="F47" s="40" t="n">
        <v>2025</v>
      </c>
      <c r="G47" s="40" t="s">
        <v>2734</v>
      </c>
      <c r="H47" s="40"/>
      <c r="I47" s="40" t="s">
        <v>3767</v>
      </c>
      <c r="J47" s="40" t="s">
        <v>335</v>
      </c>
      <c r="K47" s="40" t="n">
        <v>0</v>
      </c>
      <c r="L47" s="40" t="n">
        <v>0</v>
      </c>
      <c r="M47" s="40" t="s">
        <v>3741</v>
      </c>
      <c r="N47" s="40"/>
      <c r="O47" s="41"/>
      <c r="P47" s="41"/>
      <c r="Q47" s="41"/>
    </row>
    <row r="48" customFormat="false" ht="78" hidden="false" customHeight="true" outlineLevel="0" collapsed="false">
      <c r="A48" s="40" t="n">
        <v>44</v>
      </c>
      <c r="B48" s="40" t="s">
        <v>3738</v>
      </c>
      <c r="C48" s="40" t="s">
        <v>3786</v>
      </c>
      <c r="D48" s="40" t="s">
        <v>869</v>
      </c>
      <c r="E48" s="40" t="s">
        <v>870</v>
      </c>
      <c r="F48" s="40" t="n">
        <v>2025</v>
      </c>
      <c r="G48" s="40" t="s">
        <v>276</v>
      </c>
      <c r="H48" s="40" t="s">
        <v>871</v>
      </c>
      <c r="I48" s="40" t="s">
        <v>409</v>
      </c>
      <c r="J48" s="40" t="s">
        <v>335</v>
      </c>
      <c r="K48" s="40" t="n">
        <v>0</v>
      </c>
      <c r="L48" s="40" t="n">
        <v>0</v>
      </c>
      <c r="M48" s="40" t="s">
        <v>3741</v>
      </c>
      <c r="N48" s="40"/>
      <c r="O48" s="41"/>
      <c r="P48" s="41"/>
      <c r="Q48" s="41"/>
    </row>
    <row r="49" customFormat="false" ht="51.75" hidden="false" customHeight="true" outlineLevel="0" collapsed="false">
      <c r="A49" s="40" t="n">
        <v>45</v>
      </c>
      <c r="B49" s="40" t="s">
        <v>3738</v>
      </c>
      <c r="C49" s="40" t="s">
        <v>3787</v>
      </c>
      <c r="D49" s="40" t="s">
        <v>352</v>
      </c>
      <c r="E49" s="40" t="s">
        <v>351</v>
      </c>
      <c r="F49" s="40" t="n">
        <v>2022</v>
      </c>
      <c r="G49" s="40" t="s">
        <v>353</v>
      </c>
      <c r="H49" s="40" t="s">
        <v>354</v>
      </c>
      <c r="I49" s="40" t="s">
        <v>3767</v>
      </c>
      <c r="J49" s="40" t="s">
        <v>335</v>
      </c>
      <c r="K49" s="40" t="n">
        <v>0</v>
      </c>
      <c r="L49" s="40" t="n">
        <v>0</v>
      </c>
      <c r="M49" s="40" t="s">
        <v>3741</v>
      </c>
      <c r="N49" s="40"/>
      <c r="O49" s="41"/>
      <c r="P49" s="41"/>
      <c r="Q49" s="41"/>
    </row>
    <row r="50" customFormat="false" ht="64.5" hidden="false" customHeight="true" outlineLevel="0" collapsed="false">
      <c r="A50" s="40" t="n">
        <v>46</v>
      </c>
      <c r="B50" s="40" t="s">
        <v>3738</v>
      </c>
      <c r="C50" s="40" t="s">
        <v>3788</v>
      </c>
      <c r="D50" s="40" t="s">
        <v>1601</v>
      </c>
      <c r="E50" s="40" t="s">
        <v>1602</v>
      </c>
      <c r="F50" s="40" t="n">
        <v>2022</v>
      </c>
      <c r="G50" s="40" t="s">
        <v>1603</v>
      </c>
      <c r="H50" s="40"/>
      <c r="I50" s="40" t="s">
        <v>409</v>
      </c>
      <c r="J50" s="40" t="s">
        <v>335</v>
      </c>
      <c r="K50" s="40" t="n">
        <v>0</v>
      </c>
      <c r="L50" s="40" t="n">
        <v>0</v>
      </c>
      <c r="M50" s="40" t="s">
        <v>3741</v>
      </c>
      <c r="N50" s="40"/>
      <c r="O50" s="41"/>
      <c r="P50" s="41"/>
      <c r="Q50" s="41"/>
    </row>
    <row r="51" customFormat="false" ht="39" hidden="false" customHeight="true" outlineLevel="0" collapsed="false">
      <c r="A51" s="40" t="n">
        <v>47</v>
      </c>
      <c r="B51" s="40" t="s">
        <v>3738</v>
      </c>
      <c r="C51" s="40" t="s">
        <v>3789</v>
      </c>
      <c r="D51" s="40" t="s">
        <v>1720</v>
      </c>
      <c r="E51" s="40" t="s">
        <v>1721</v>
      </c>
      <c r="F51" s="40" t="n">
        <v>2021</v>
      </c>
      <c r="G51" s="40" t="s">
        <v>1722</v>
      </c>
      <c r="H51" s="40"/>
      <c r="I51" s="40" t="s">
        <v>409</v>
      </c>
      <c r="J51" s="40" t="s">
        <v>335</v>
      </c>
      <c r="K51" s="40" t="n">
        <v>0</v>
      </c>
      <c r="L51" s="40" t="n">
        <v>0</v>
      </c>
      <c r="M51" s="40" t="s">
        <v>3741</v>
      </c>
      <c r="N51" s="40"/>
      <c r="O51" s="41"/>
      <c r="P51" s="41"/>
      <c r="Q51" s="41"/>
    </row>
    <row r="52" customFormat="false" ht="64.5" hidden="false" customHeight="true" outlineLevel="0" collapsed="false">
      <c r="A52" s="40" t="n">
        <v>48</v>
      </c>
      <c r="B52" s="40" t="s">
        <v>3738</v>
      </c>
      <c r="C52" s="40" t="s">
        <v>3790</v>
      </c>
      <c r="D52" s="40" t="s">
        <v>2774</v>
      </c>
      <c r="E52" s="40" t="s">
        <v>2775</v>
      </c>
      <c r="F52" s="40" t="n">
        <v>2021</v>
      </c>
      <c r="G52" s="40" t="s">
        <v>2776</v>
      </c>
      <c r="H52" s="40" t="s">
        <v>2777</v>
      </c>
      <c r="I52" s="40" t="s">
        <v>3767</v>
      </c>
      <c r="J52" s="40" t="s">
        <v>335</v>
      </c>
      <c r="K52" s="40" t="n">
        <v>0</v>
      </c>
      <c r="L52" s="40" t="n">
        <v>0</v>
      </c>
      <c r="M52" s="40" t="s">
        <v>3741</v>
      </c>
      <c r="N52" s="40"/>
      <c r="O52" s="41"/>
      <c r="P52" s="41"/>
      <c r="Q52" s="41"/>
    </row>
    <row r="53" customFormat="false" ht="64.5" hidden="false" customHeight="true" outlineLevel="0" collapsed="false">
      <c r="A53" s="40" t="n">
        <v>49</v>
      </c>
      <c r="B53" s="40" t="s">
        <v>3738</v>
      </c>
      <c r="C53" s="40" t="s">
        <v>3791</v>
      </c>
      <c r="D53" s="40" t="s">
        <v>1798</v>
      </c>
      <c r="E53" s="40" t="s">
        <v>1799</v>
      </c>
      <c r="F53" s="40" t="n">
        <v>2021</v>
      </c>
      <c r="G53" s="40" t="s">
        <v>876</v>
      </c>
      <c r="H53" s="40"/>
      <c r="I53" s="40" t="s">
        <v>409</v>
      </c>
      <c r="J53" s="40" t="s">
        <v>335</v>
      </c>
      <c r="K53" s="40" t="n">
        <v>0</v>
      </c>
      <c r="L53" s="40" t="n">
        <v>0</v>
      </c>
      <c r="M53" s="40" t="s">
        <v>3741</v>
      </c>
      <c r="N53" s="40"/>
      <c r="O53" s="41"/>
      <c r="P53" s="41"/>
      <c r="Q53" s="41"/>
    </row>
    <row r="54" customFormat="false" ht="51.75" hidden="false" customHeight="true" outlineLevel="0" collapsed="false">
      <c r="A54" s="40" t="n">
        <v>50</v>
      </c>
      <c r="B54" s="40" t="s">
        <v>3738</v>
      </c>
      <c r="C54" s="40" t="s">
        <v>3792</v>
      </c>
      <c r="D54" s="40" t="s">
        <v>383</v>
      </c>
      <c r="E54" s="40" t="s">
        <v>382</v>
      </c>
      <c r="F54" s="40" t="n">
        <v>2020</v>
      </c>
      <c r="G54" s="40" t="s">
        <v>384</v>
      </c>
      <c r="H54" s="40" t="s">
        <v>385</v>
      </c>
      <c r="I54" s="40" t="s">
        <v>3767</v>
      </c>
      <c r="J54" s="40" t="s">
        <v>335</v>
      </c>
      <c r="K54" s="40" t="n">
        <v>0</v>
      </c>
      <c r="L54" s="40" t="n">
        <v>0</v>
      </c>
      <c r="M54" s="40" t="s">
        <v>3741</v>
      </c>
      <c r="N54" s="40"/>
      <c r="O54" s="41"/>
      <c r="P54" s="41"/>
      <c r="Q54" s="41"/>
    </row>
    <row r="55" customFormat="false" ht="39" hidden="false" customHeight="true" outlineLevel="0" collapsed="false">
      <c r="A55" s="40" t="n">
        <v>51</v>
      </c>
      <c r="B55" s="40" t="s">
        <v>3738</v>
      </c>
      <c r="C55" s="40" t="s">
        <v>3793</v>
      </c>
      <c r="D55" s="40" t="s">
        <v>2433</v>
      </c>
      <c r="E55" s="40" t="s">
        <v>2434</v>
      </c>
      <c r="F55" s="40" t="n">
        <v>2017</v>
      </c>
      <c r="G55" s="40" t="s">
        <v>2435</v>
      </c>
      <c r="H55" s="40" t="s">
        <v>2436</v>
      </c>
      <c r="I55" s="40" t="s">
        <v>409</v>
      </c>
      <c r="J55" s="40" t="s">
        <v>335</v>
      </c>
      <c r="K55" s="40" t="n">
        <v>0</v>
      </c>
      <c r="L55" s="40" t="n">
        <v>0</v>
      </c>
      <c r="M55" s="40" t="s">
        <v>3741</v>
      </c>
      <c r="N55" s="40"/>
      <c r="O55" s="41"/>
      <c r="P55" s="41"/>
      <c r="Q55" s="41"/>
    </row>
    <row r="56" customFormat="false" ht="39" hidden="false" customHeight="true" outlineLevel="0" collapsed="false">
      <c r="A56" s="40" t="n">
        <v>52</v>
      </c>
      <c r="B56" s="40" t="s">
        <v>3738</v>
      </c>
      <c r="C56" s="40" t="s">
        <v>3794</v>
      </c>
      <c r="D56" s="40" t="s">
        <v>3502</v>
      </c>
      <c r="E56" s="40" t="s">
        <v>3503</v>
      </c>
      <c r="F56" s="40" t="n">
        <v>2025</v>
      </c>
      <c r="G56" s="40" t="s">
        <v>3504</v>
      </c>
      <c r="H56" s="40" t="s">
        <v>3505</v>
      </c>
      <c r="I56" s="40" t="s">
        <v>3795</v>
      </c>
      <c r="J56" s="40" t="s">
        <v>335</v>
      </c>
      <c r="K56" s="40" t="n">
        <v>0</v>
      </c>
      <c r="L56" s="40" t="n">
        <v>0</v>
      </c>
      <c r="M56" s="40" t="s">
        <v>3741</v>
      </c>
      <c r="N56" s="40"/>
      <c r="O56" s="41"/>
      <c r="P56" s="41"/>
      <c r="Q56" s="41"/>
    </row>
    <row r="57" customFormat="false" ht="39" hidden="false" customHeight="true" outlineLevel="0" collapsed="false">
      <c r="A57" s="42" t="n">
        <v>53</v>
      </c>
      <c r="B57" s="42" t="s">
        <v>3796</v>
      </c>
      <c r="C57" s="42" t="s">
        <v>3797</v>
      </c>
      <c r="D57" s="42" t="s">
        <v>22</v>
      </c>
      <c r="E57" s="42" t="s">
        <v>21</v>
      </c>
      <c r="F57" s="42" t="n">
        <v>2018</v>
      </c>
      <c r="G57" s="42" t="s">
        <v>23</v>
      </c>
      <c r="H57" s="42" t="s">
        <v>24</v>
      </c>
      <c r="I57" s="42" t="s">
        <v>3740</v>
      </c>
      <c r="J57" s="42" t="s">
        <v>25</v>
      </c>
      <c r="K57" s="42" t="n">
        <v>196</v>
      </c>
      <c r="L57" s="42" t="n">
        <v>21.78</v>
      </c>
      <c r="M57" s="42" t="s">
        <v>3741</v>
      </c>
      <c r="N57" s="42"/>
      <c r="O57" s="41"/>
      <c r="P57" s="41"/>
      <c r="Q57" s="41"/>
    </row>
    <row r="58" customFormat="false" ht="39" hidden="false" customHeight="true" outlineLevel="0" collapsed="false">
      <c r="A58" s="42" t="n">
        <v>54</v>
      </c>
      <c r="B58" s="42" t="s">
        <v>3796</v>
      </c>
      <c r="C58" s="42" t="s">
        <v>3798</v>
      </c>
      <c r="D58" s="42" t="s">
        <v>211</v>
      </c>
      <c r="E58" s="42" t="s">
        <v>210</v>
      </c>
      <c r="F58" s="42" t="n">
        <v>2025</v>
      </c>
      <c r="G58" s="42" t="s">
        <v>159</v>
      </c>
      <c r="H58" s="42" t="s">
        <v>212</v>
      </c>
      <c r="I58" s="42" t="s">
        <v>3740</v>
      </c>
      <c r="J58" s="42" t="s">
        <v>25</v>
      </c>
      <c r="K58" s="42" t="n">
        <v>43</v>
      </c>
      <c r="L58" s="42" t="n">
        <v>21.5</v>
      </c>
      <c r="M58" s="42" t="s">
        <v>3741</v>
      </c>
      <c r="N58" s="42"/>
      <c r="O58" s="41"/>
      <c r="P58" s="41"/>
      <c r="Q58" s="41"/>
    </row>
    <row r="59" customFormat="false" ht="39" hidden="false" customHeight="true" outlineLevel="0" collapsed="false">
      <c r="A59" s="42" t="n">
        <v>55</v>
      </c>
      <c r="B59" s="42" t="s">
        <v>3796</v>
      </c>
      <c r="C59" s="42" t="s">
        <v>3799</v>
      </c>
      <c r="D59" s="42" t="s">
        <v>27</v>
      </c>
      <c r="E59" s="42" t="s">
        <v>26</v>
      </c>
      <c r="F59" s="42" t="n">
        <v>2024</v>
      </c>
      <c r="G59" s="42" t="s">
        <v>28</v>
      </c>
      <c r="H59" s="42" t="s">
        <v>29</v>
      </c>
      <c r="I59" s="42" t="s">
        <v>409</v>
      </c>
      <c r="J59" s="42" t="s">
        <v>25</v>
      </c>
      <c r="K59" s="42" t="n">
        <v>64</v>
      </c>
      <c r="L59" s="42" t="n">
        <v>21.33</v>
      </c>
      <c r="M59" s="42" t="s">
        <v>3741</v>
      </c>
      <c r="N59" s="42"/>
      <c r="O59" s="41"/>
      <c r="P59" s="41"/>
      <c r="Q59" s="41"/>
    </row>
    <row r="60" customFormat="false" ht="39" hidden="false" customHeight="true" outlineLevel="0" collapsed="false">
      <c r="A60" s="42" t="n">
        <v>56</v>
      </c>
      <c r="B60" s="42" t="s">
        <v>3796</v>
      </c>
      <c r="C60" s="42" t="s">
        <v>3800</v>
      </c>
      <c r="D60" s="42" t="s">
        <v>133</v>
      </c>
      <c r="E60" s="42" t="s">
        <v>132</v>
      </c>
      <c r="F60" s="42" t="n">
        <v>2017</v>
      </c>
      <c r="G60" s="42" t="s">
        <v>134</v>
      </c>
      <c r="H60" s="42" t="s">
        <v>135</v>
      </c>
      <c r="I60" s="42" t="s">
        <v>409</v>
      </c>
      <c r="J60" s="42" t="s">
        <v>25</v>
      </c>
      <c r="K60" s="42" t="n">
        <v>149</v>
      </c>
      <c r="L60" s="42" t="n">
        <v>14.9</v>
      </c>
      <c r="M60" s="42" t="s">
        <v>3741</v>
      </c>
      <c r="N60" s="42"/>
      <c r="O60" s="41"/>
      <c r="P60" s="41"/>
      <c r="Q60" s="41"/>
    </row>
    <row r="61" customFormat="false" ht="39" hidden="false" customHeight="true" outlineLevel="0" collapsed="false">
      <c r="A61" s="42" t="n">
        <v>57</v>
      </c>
      <c r="B61" s="42" t="s">
        <v>3796</v>
      </c>
      <c r="C61" s="42" t="s">
        <v>3801</v>
      </c>
      <c r="D61" s="42" t="s">
        <v>31</v>
      </c>
      <c r="E61" s="42" t="s">
        <v>30</v>
      </c>
      <c r="F61" s="42" t="n">
        <v>2016</v>
      </c>
      <c r="G61" s="42" t="s">
        <v>32</v>
      </c>
      <c r="H61" s="42" t="s">
        <v>33</v>
      </c>
      <c r="I61" s="42" t="s">
        <v>3743</v>
      </c>
      <c r="J61" s="42" t="s">
        <v>25</v>
      </c>
      <c r="K61" s="42" t="n">
        <v>148</v>
      </c>
      <c r="L61" s="42" t="n">
        <v>13.45</v>
      </c>
      <c r="M61" s="42" t="s">
        <v>3741</v>
      </c>
      <c r="N61" s="42"/>
      <c r="O61" s="41"/>
      <c r="P61" s="41"/>
      <c r="Q61" s="41"/>
    </row>
    <row r="62" customFormat="false" ht="25.5" hidden="false" customHeight="true" outlineLevel="0" collapsed="false">
      <c r="A62" s="42" t="n">
        <v>58</v>
      </c>
      <c r="B62" s="42" t="s">
        <v>3796</v>
      </c>
      <c r="C62" s="42" t="s">
        <v>3802</v>
      </c>
      <c r="D62" s="42" t="s">
        <v>35</v>
      </c>
      <c r="E62" s="42" t="s">
        <v>34</v>
      </c>
      <c r="F62" s="42" t="n">
        <v>2018</v>
      </c>
      <c r="G62" s="42" t="s">
        <v>36</v>
      </c>
      <c r="H62" s="42" t="s">
        <v>37</v>
      </c>
      <c r="I62" s="42" t="s">
        <v>3743</v>
      </c>
      <c r="J62" s="42" t="s">
        <v>25</v>
      </c>
      <c r="K62" s="42" t="n">
        <v>102</v>
      </c>
      <c r="L62" s="42" t="n">
        <v>11.33</v>
      </c>
      <c r="M62" s="42" t="s">
        <v>3741</v>
      </c>
      <c r="N62" s="42"/>
      <c r="O62" s="41"/>
      <c r="P62" s="41"/>
      <c r="Q62" s="41"/>
    </row>
    <row r="63" customFormat="false" ht="39" hidden="false" customHeight="true" outlineLevel="0" collapsed="false">
      <c r="A63" s="42" t="n">
        <v>59</v>
      </c>
      <c r="B63" s="42" t="s">
        <v>3796</v>
      </c>
      <c r="C63" s="42" t="s">
        <v>3803</v>
      </c>
      <c r="D63" s="42" t="s">
        <v>137</v>
      </c>
      <c r="E63" s="42" t="s">
        <v>136</v>
      </c>
      <c r="F63" s="42" t="n">
        <v>2026</v>
      </c>
      <c r="G63" s="42" t="s">
        <v>138</v>
      </c>
      <c r="H63" s="42" t="s">
        <v>139</v>
      </c>
      <c r="I63" s="42" t="s">
        <v>409</v>
      </c>
      <c r="J63" s="42" t="s">
        <v>25</v>
      </c>
      <c r="K63" s="42" t="n">
        <v>11</v>
      </c>
      <c r="L63" s="42" t="n">
        <v>11</v>
      </c>
      <c r="M63" s="42" t="s">
        <v>3741</v>
      </c>
      <c r="N63" s="42"/>
      <c r="O63" s="41"/>
      <c r="P63" s="41"/>
      <c r="Q63" s="41"/>
    </row>
    <row r="64" customFormat="false" ht="25.5" hidden="false" customHeight="true" outlineLevel="0" collapsed="false">
      <c r="A64" s="42" t="n">
        <v>60</v>
      </c>
      <c r="B64" s="42" t="s">
        <v>3796</v>
      </c>
      <c r="C64" s="42" t="s">
        <v>3804</v>
      </c>
      <c r="D64" s="42" t="s">
        <v>141</v>
      </c>
      <c r="E64" s="42" t="s">
        <v>140</v>
      </c>
      <c r="F64" s="42" t="n">
        <v>2020</v>
      </c>
      <c r="G64" s="42" t="s">
        <v>66</v>
      </c>
      <c r="H64" s="42" t="s">
        <v>142</v>
      </c>
      <c r="I64" s="42" t="s">
        <v>3743</v>
      </c>
      <c r="J64" s="42" t="s">
        <v>25</v>
      </c>
      <c r="K64" s="42" t="n">
        <v>73</v>
      </c>
      <c r="L64" s="42" t="n">
        <v>10.43</v>
      </c>
      <c r="M64" s="42" t="s">
        <v>3741</v>
      </c>
      <c r="N64" s="42"/>
      <c r="O64" s="41"/>
      <c r="P64" s="41"/>
      <c r="Q64" s="41"/>
    </row>
    <row r="65" customFormat="false" ht="51.75" hidden="false" customHeight="true" outlineLevel="0" collapsed="false">
      <c r="A65" s="42" t="n">
        <v>61</v>
      </c>
      <c r="B65" s="42" t="s">
        <v>3796</v>
      </c>
      <c r="C65" s="42" t="s">
        <v>3805</v>
      </c>
      <c r="D65" s="42" t="s">
        <v>214</v>
      </c>
      <c r="E65" s="42" t="s">
        <v>213</v>
      </c>
      <c r="F65" s="42" t="n">
        <v>2024</v>
      </c>
      <c r="G65" s="42" t="s">
        <v>215</v>
      </c>
      <c r="H65" s="42" t="s">
        <v>216</v>
      </c>
      <c r="I65" s="42" t="s">
        <v>409</v>
      </c>
      <c r="J65" s="42" t="s">
        <v>25</v>
      </c>
      <c r="K65" s="42" t="n">
        <v>31</v>
      </c>
      <c r="L65" s="42" t="n">
        <v>10.33</v>
      </c>
      <c r="M65" s="42" t="s">
        <v>3741</v>
      </c>
      <c r="N65" s="42"/>
      <c r="O65" s="41"/>
      <c r="P65" s="41"/>
      <c r="Q65" s="41"/>
    </row>
    <row r="66" customFormat="false" ht="25.5" hidden="false" customHeight="true" outlineLevel="0" collapsed="false">
      <c r="A66" s="42" t="n">
        <v>62</v>
      </c>
      <c r="B66" s="42" t="s">
        <v>3796</v>
      </c>
      <c r="C66" s="42" t="s">
        <v>3806</v>
      </c>
      <c r="D66" s="42" t="s">
        <v>144</v>
      </c>
      <c r="E66" s="42" t="s">
        <v>143</v>
      </c>
      <c r="F66" s="42" t="n">
        <v>2022</v>
      </c>
      <c r="G66" s="42" t="s">
        <v>145</v>
      </c>
      <c r="H66" s="42" t="s">
        <v>146</v>
      </c>
      <c r="I66" s="42" t="s">
        <v>3743</v>
      </c>
      <c r="J66" s="42" t="s">
        <v>25</v>
      </c>
      <c r="K66" s="42" t="n">
        <v>50</v>
      </c>
      <c r="L66" s="42" t="n">
        <v>10</v>
      </c>
      <c r="M66" s="42" t="s">
        <v>3741</v>
      </c>
      <c r="N66" s="42"/>
      <c r="O66" s="41"/>
      <c r="P66" s="41"/>
      <c r="Q66" s="41"/>
    </row>
    <row r="67" customFormat="false" ht="39" hidden="false" customHeight="true" outlineLevel="0" collapsed="false">
      <c r="A67" s="42" t="n">
        <v>63</v>
      </c>
      <c r="B67" s="42" t="s">
        <v>3796</v>
      </c>
      <c r="C67" s="42" t="s">
        <v>3807</v>
      </c>
      <c r="D67" s="42" t="s">
        <v>148</v>
      </c>
      <c r="E67" s="42" t="s">
        <v>147</v>
      </c>
      <c r="F67" s="42" t="n">
        <v>2022</v>
      </c>
      <c r="G67" s="42" t="s">
        <v>32</v>
      </c>
      <c r="H67" s="42" t="s">
        <v>149</v>
      </c>
      <c r="I67" s="42" t="s">
        <v>3743</v>
      </c>
      <c r="J67" s="42" t="s">
        <v>25</v>
      </c>
      <c r="K67" s="42" t="n">
        <v>48</v>
      </c>
      <c r="L67" s="42" t="n">
        <v>9.6</v>
      </c>
      <c r="M67" s="42" t="s">
        <v>3741</v>
      </c>
      <c r="N67" s="42"/>
      <c r="O67" s="41"/>
      <c r="P67" s="41"/>
      <c r="Q67" s="41"/>
    </row>
    <row r="68" customFormat="false" ht="39" hidden="false" customHeight="true" outlineLevel="0" collapsed="false">
      <c r="A68" s="42" t="n">
        <v>64</v>
      </c>
      <c r="B68" s="42" t="s">
        <v>3796</v>
      </c>
      <c r="C68" s="42" t="s">
        <v>3808</v>
      </c>
      <c r="D68" s="42" t="s">
        <v>337</v>
      </c>
      <c r="E68" s="42" t="s">
        <v>336</v>
      </c>
      <c r="F68" s="42" t="n">
        <v>2020</v>
      </c>
      <c r="G68" s="42" t="s">
        <v>338</v>
      </c>
      <c r="H68" s="42" t="s">
        <v>339</v>
      </c>
      <c r="I68" s="42" t="s">
        <v>3743</v>
      </c>
      <c r="J68" s="42" t="s">
        <v>25</v>
      </c>
      <c r="K68" s="42" t="n">
        <v>67</v>
      </c>
      <c r="L68" s="42" t="n">
        <v>9.57</v>
      </c>
      <c r="M68" s="42" t="s">
        <v>3741</v>
      </c>
      <c r="N68" s="42"/>
      <c r="O68" s="41"/>
      <c r="P68" s="41"/>
      <c r="Q68" s="41"/>
    </row>
    <row r="69" customFormat="false" ht="39" hidden="false" customHeight="true" outlineLevel="0" collapsed="false">
      <c r="A69" s="42" t="n">
        <v>65</v>
      </c>
      <c r="B69" s="42" t="s">
        <v>3796</v>
      </c>
      <c r="C69" s="42" t="s">
        <v>3809</v>
      </c>
      <c r="D69" s="42" t="s">
        <v>151</v>
      </c>
      <c r="E69" s="42" t="s">
        <v>150</v>
      </c>
      <c r="F69" s="42" t="n">
        <v>2018</v>
      </c>
      <c r="G69" s="42" t="s">
        <v>32</v>
      </c>
      <c r="H69" s="42" t="s">
        <v>152</v>
      </c>
      <c r="I69" s="42" t="s">
        <v>3743</v>
      </c>
      <c r="J69" s="42" t="s">
        <v>25</v>
      </c>
      <c r="K69" s="42" t="n">
        <v>85</v>
      </c>
      <c r="L69" s="42" t="n">
        <v>9.44</v>
      </c>
      <c r="M69" s="42" t="s">
        <v>3741</v>
      </c>
      <c r="N69" s="42"/>
      <c r="O69" s="41"/>
      <c r="P69" s="41"/>
      <c r="Q69" s="41"/>
    </row>
    <row r="70" customFormat="false" ht="25.5" hidden="false" customHeight="true" outlineLevel="0" collapsed="false">
      <c r="A70" s="42" t="n">
        <v>66</v>
      </c>
      <c r="B70" s="42" t="s">
        <v>3796</v>
      </c>
      <c r="C70" s="42" t="s">
        <v>3810</v>
      </c>
      <c r="D70" s="42" t="s">
        <v>154</v>
      </c>
      <c r="E70" s="42" t="s">
        <v>153</v>
      </c>
      <c r="F70" s="42" t="n">
        <v>2023</v>
      </c>
      <c r="G70" s="42" t="s">
        <v>155</v>
      </c>
      <c r="H70" s="42" t="s">
        <v>156</v>
      </c>
      <c r="I70" s="42" t="s">
        <v>3743</v>
      </c>
      <c r="J70" s="42" t="s">
        <v>25</v>
      </c>
      <c r="K70" s="42" t="n">
        <v>37</v>
      </c>
      <c r="L70" s="42" t="n">
        <v>9.25</v>
      </c>
      <c r="M70" s="42" t="s">
        <v>3741</v>
      </c>
      <c r="N70" s="42"/>
      <c r="O70" s="41"/>
      <c r="P70" s="41"/>
      <c r="Q70" s="41"/>
    </row>
    <row r="71" customFormat="false" ht="39" hidden="false" customHeight="true" outlineLevel="0" collapsed="false">
      <c r="A71" s="42" t="n">
        <v>67</v>
      </c>
      <c r="B71" s="42" t="s">
        <v>3796</v>
      </c>
      <c r="C71" s="42" t="s">
        <v>3811</v>
      </c>
      <c r="D71" s="42" t="s">
        <v>356</v>
      </c>
      <c r="E71" s="42" t="s">
        <v>355</v>
      </c>
      <c r="F71" s="42" t="n">
        <v>2020</v>
      </c>
      <c r="G71" s="42" t="s">
        <v>357</v>
      </c>
      <c r="H71" s="42" t="s">
        <v>358</v>
      </c>
      <c r="I71" s="42" t="s">
        <v>3743</v>
      </c>
      <c r="J71" s="42" t="s">
        <v>25</v>
      </c>
      <c r="K71" s="42" t="n">
        <v>61</v>
      </c>
      <c r="L71" s="42" t="n">
        <v>8.71</v>
      </c>
      <c r="M71" s="42" t="s">
        <v>3741</v>
      </c>
      <c r="N71" s="42"/>
      <c r="O71" s="41"/>
      <c r="P71" s="41"/>
      <c r="Q71" s="41"/>
    </row>
    <row r="72" customFormat="false" ht="39" hidden="false" customHeight="true" outlineLevel="0" collapsed="false">
      <c r="A72" s="42" t="n">
        <v>68</v>
      </c>
      <c r="B72" s="42" t="s">
        <v>3796</v>
      </c>
      <c r="C72" s="42" t="s">
        <v>3812</v>
      </c>
      <c r="D72" s="42" t="s">
        <v>158</v>
      </c>
      <c r="E72" s="42" t="s">
        <v>157</v>
      </c>
      <c r="F72" s="42" t="n">
        <v>2022</v>
      </c>
      <c r="G72" s="42" t="s">
        <v>159</v>
      </c>
      <c r="H72" s="42" t="s">
        <v>160</v>
      </c>
      <c r="I72" s="42" t="s">
        <v>3740</v>
      </c>
      <c r="J72" s="42" t="s">
        <v>25</v>
      </c>
      <c r="K72" s="42" t="n">
        <v>40</v>
      </c>
      <c r="L72" s="42" t="n">
        <v>8</v>
      </c>
      <c r="M72" s="42" t="s">
        <v>3741</v>
      </c>
      <c r="N72" s="42"/>
      <c r="O72" s="41"/>
      <c r="P72" s="41"/>
      <c r="Q72" s="41"/>
    </row>
    <row r="73" customFormat="false" ht="51.75" hidden="false" customHeight="true" outlineLevel="0" collapsed="false">
      <c r="A73" s="42" t="n">
        <v>69</v>
      </c>
      <c r="B73" s="42" t="s">
        <v>3796</v>
      </c>
      <c r="C73" s="42" t="s">
        <v>3813</v>
      </c>
      <c r="D73" s="42" t="s">
        <v>264</v>
      </c>
      <c r="E73" s="42" t="s">
        <v>263</v>
      </c>
      <c r="F73" s="42" t="n">
        <v>2019</v>
      </c>
      <c r="G73" s="42" t="s">
        <v>32</v>
      </c>
      <c r="H73" s="42" t="s">
        <v>265</v>
      </c>
      <c r="I73" s="42" t="s">
        <v>3743</v>
      </c>
      <c r="J73" s="42" t="s">
        <v>25</v>
      </c>
      <c r="K73" s="42" t="n">
        <v>60</v>
      </c>
      <c r="L73" s="42" t="n">
        <v>7.5</v>
      </c>
      <c r="M73" s="42" t="s">
        <v>3741</v>
      </c>
      <c r="N73" s="42"/>
      <c r="O73" s="41"/>
      <c r="P73" s="41"/>
      <c r="Q73" s="41"/>
    </row>
    <row r="74" customFormat="false" ht="39" hidden="false" customHeight="true" outlineLevel="0" collapsed="false">
      <c r="A74" s="42" t="n">
        <v>70</v>
      </c>
      <c r="B74" s="42" t="s">
        <v>3796</v>
      </c>
      <c r="C74" s="42" t="s">
        <v>3814</v>
      </c>
      <c r="D74" s="42" t="s">
        <v>39</v>
      </c>
      <c r="E74" s="42" t="s">
        <v>38</v>
      </c>
      <c r="F74" s="42" t="n">
        <v>2017</v>
      </c>
      <c r="G74" s="42" t="s">
        <v>40</v>
      </c>
      <c r="H74" s="42" t="s">
        <v>41</v>
      </c>
      <c r="I74" s="42" t="s">
        <v>3740</v>
      </c>
      <c r="J74" s="42" t="s">
        <v>25</v>
      </c>
      <c r="K74" s="42" t="n">
        <v>70</v>
      </c>
      <c r="L74" s="42" t="n">
        <v>7</v>
      </c>
      <c r="M74" s="42" t="s">
        <v>3741</v>
      </c>
      <c r="N74" s="42"/>
      <c r="O74" s="41"/>
      <c r="P74" s="41"/>
      <c r="Q74" s="41"/>
    </row>
    <row r="75" customFormat="false" ht="51.75" hidden="false" customHeight="true" outlineLevel="0" collapsed="false">
      <c r="A75" s="42" t="n">
        <v>71</v>
      </c>
      <c r="B75" s="42" t="s">
        <v>3796</v>
      </c>
      <c r="C75" s="42" t="s">
        <v>3815</v>
      </c>
      <c r="D75" s="42" t="s">
        <v>162</v>
      </c>
      <c r="E75" s="42" t="s">
        <v>161</v>
      </c>
      <c r="F75" s="42" t="n">
        <v>2021</v>
      </c>
      <c r="G75" s="42" t="s">
        <v>32</v>
      </c>
      <c r="H75" s="42" t="s">
        <v>163</v>
      </c>
      <c r="I75" s="42" t="s">
        <v>3743</v>
      </c>
      <c r="J75" s="42" t="s">
        <v>25</v>
      </c>
      <c r="K75" s="42" t="n">
        <v>41</v>
      </c>
      <c r="L75" s="42" t="n">
        <v>6.83</v>
      </c>
      <c r="M75" s="42" t="s">
        <v>3741</v>
      </c>
      <c r="N75" s="42"/>
      <c r="O75" s="41"/>
      <c r="P75" s="41"/>
      <c r="Q75" s="41"/>
    </row>
    <row r="76" customFormat="false" ht="51.75" hidden="false" customHeight="true" outlineLevel="0" collapsed="false">
      <c r="A76" s="42" t="n">
        <v>72</v>
      </c>
      <c r="B76" s="42" t="s">
        <v>3796</v>
      </c>
      <c r="C76" s="42" t="s">
        <v>3816</v>
      </c>
      <c r="D76" s="42" t="s">
        <v>165</v>
      </c>
      <c r="E76" s="42" t="s">
        <v>164</v>
      </c>
      <c r="F76" s="42" t="n">
        <v>2024</v>
      </c>
      <c r="G76" s="42" t="s">
        <v>166</v>
      </c>
      <c r="H76" s="42" t="s">
        <v>167</v>
      </c>
      <c r="I76" s="42" t="s">
        <v>409</v>
      </c>
      <c r="J76" s="42" t="s">
        <v>25</v>
      </c>
      <c r="K76" s="42" t="n">
        <v>20</v>
      </c>
      <c r="L76" s="42" t="n">
        <v>6.67</v>
      </c>
      <c r="M76" s="42" t="s">
        <v>3741</v>
      </c>
      <c r="N76" s="42"/>
      <c r="O76" s="41"/>
      <c r="P76" s="41"/>
      <c r="Q76" s="41"/>
    </row>
    <row r="77" customFormat="false" ht="39" hidden="false" customHeight="true" outlineLevel="0" collapsed="false">
      <c r="A77" s="42" t="n">
        <v>73</v>
      </c>
      <c r="B77" s="42" t="s">
        <v>3796</v>
      </c>
      <c r="C77" s="42" t="s">
        <v>3817</v>
      </c>
      <c r="D77" s="42" t="s">
        <v>169</v>
      </c>
      <c r="E77" s="42" t="s">
        <v>168</v>
      </c>
      <c r="F77" s="42" t="n">
        <v>2018</v>
      </c>
      <c r="G77" s="42" t="s">
        <v>170</v>
      </c>
      <c r="H77" s="42" t="s">
        <v>171</v>
      </c>
      <c r="I77" s="42" t="s">
        <v>409</v>
      </c>
      <c r="J77" s="42" t="s">
        <v>25</v>
      </c>
      <c r="K77" s="42" t="n">
        <v>60</v>
      </c>
      <c r="L77" s="42" t="n">
        <v>6.67</v>
      </c>
      <c r="M77" s="42" t="s">
        <v>3741</v>
      </c>
      <c r="N77" s="42"/>
      <c r="O77" s="41"/>
      <c r="P77" s="41"/>
      <c r="Q77" s="41"/>
    </row>
    <row r="78" customFormat="false" ht="39" hidden="false" customHeight="true" outlineLevel="0" collapsed="false">
      <c r="A78" s="42" t="n">
        <v>74</v>
      </c>
      <c r="B78" s="42" t="s">
        <v>3796</v>
      </c>
      <c r="C78" s="42" t="s">
        <v>3818</v>
      </c>
      <c r="D78" s="42" t="s">
        <v>173</v>
      </c>
      <c r="E78" s="42" t="s">
        <v>172</v>
      </c>
      <c r="F78" s="42" t="n">
        <v>2016</v>
      </c>
      <c r="G78" s="42" t="s">
        <v>174</v>
      </c>
      <c r="H78" s="42" t="s">
        <v>175</v>
      </c>
      <c r="I78" s="42" t="s">
        <v>409</v>
      </c>
      <c r="J78" s="42" t="s">
        <v>25</v>
      </c>
      <c r="K78" s="42" t="n">
        <v>73</v>
      </c>
      <c r="L78" s="42" t="n">
        <v>6.64</v>
      </c>
      <c r="M78" s="42" t="s">
        <v>3741</v>
      </c>
      <c r="N78" s="42"/>
      <c r="O78" s="41"/>
      <c r="P78" s="41"/>
      <c r="Q78" s="41"/>
    </row>
    <row r="79" customFormat="false" ht="51.75" hidden="false" customHeight="true" outlineLevel="0" collapsed="false">
      <c r="A79" s="42" t="n">
        <v>75</v>
      </c>
      <c r="B79" s="42" t="s">
        <v>3796</v>
      </c>
      <c r="C79" s="42" t="s">
        <v>3819</v>
      </c>
      <c r="D79" s="42" t="s">
        <v>177</v>
      </c>
      <c r="E79" s="42" t="s">
        <v>176</v>
      </c>
      <c r="F79" s="42" t="n">
        <v>2016</v>
      </c>
      <c r="G79" s="42" t="s">
        <v>32</v>
      </c>
      <c r="H79" s="42" t="s">
        <v>178</v>
      </c>
      <c r="I79" s="42" t="s">
        <v>3743</v>
      </c>
      <c r="J79" s="42" t="s">
        <v>25</v>
      </c>
      <c r="K79" s="42" t="n">
        <v>73</v>
      </c>
      <c r="L79" s="42" t="n">
        <v>6.64</v>
      </c>
      <c r="M79" s="42" t="s">
        <v>3741</v>
      </c>
      <c r="N79" s="42"/>
      <c r="O79" s="41"/>
      <c r="P79" s="41"/>
      <c r="Q79" s="41"/>
    </row>
    <row r="80" customFormat="false" ht="39" hidden="false" customHeight="true" outlineLevel="0" collapsed="false">
      <c r="A80" s="42" t="n">
        <v>76</v>
      </c>
      <c r="B80" s="42" t="s">
        <v>3796</v>
      </c>
      <c r="C80" s="42" t="s">
        <v>3820</v>
      </c>
      <c r="D80" s="42" t="s">
        <v>180</v>
      </c>
      <c r="E80" s="42" t="s">
        <v>179</v>
      </c>
      <c r="F80" s="42" t="n">
        <v>2022</v>
      </c>
      <c r="G80" s="42" t="s">
        <v>166</v>
      </c>
      <c r="H80" s="42" t="s">
        <v>181</v>
      </c>
      <c r="I80" s="42" t="s">
        <v>3743</v>
      </c>
      <c r="J80" s="42" t="s">
        <v>25</v>
      </c>
      <c r="K80" s="42" t="n">
        <v>33</v>
      </c>
      <c r="L80" s="42" t="n">
        <v>6.6</v>
      </c>
      <c r="M80" s="42" t="s">
        <v>3741</v>
      </c>
      <c r="N80" s="42"/>
      <c r="O80" s="41"/>
      <c r="P80" s="41"/>
      <c r="Q80" s="41"/>
    </row>
    <row r="81" customFormat="false" ht="51.75" hidden="false" customHeight="true" outlineLevel="0" collapsed="false">
      <c r="A81" s="42" t="n">
        <v>77</v>
      </c>
      <c r="B81" s="42" t="s">
        <v>3796</v>
      </c>
      <c r="C81" s="42" t="s">
        <v>3821</v>
      </c>
      <c r="D81" s="42" t="s">
        <v>183</v>
      </c>
      <c r="E81" s="42" t="s">
        <v>182</v>
      </c>
      <c r="F81" s="42" t="n">
        <v>2021</v>
      </c>
      <c r="G81" s="42" t="s">
        <v>184</v>
      </c>
      <c r="H81" s="42" t="s">
        <v>185</v>
      </c>
      <c r="I81" s="42" t="s">
        <v>3743</v>
      </c>
      <c r="J81" s="42" t="s">
        <v>25</v>
      </c>
      <c r="K81" s="42" t="n">
        <v>37</v>
      </c>
      <c r="L81" s="42" t="n">
        <v>6.17</v>
      </c>
      <c r="M81" s="42" t="s">
        <v>3741</v>
      </c>
      <c r="N81" s="42"/>
      <c r="O81" s="41"/>
      <c r="P81" s="41"/>
      <c r="Q81" s="41"/>
    </row>
    <row r="82" customFormat="false" ht="39" hidden="false" customHeight="true" outlineLevel="0" collapsed="false">
      <c r="A82" s="42" t="n">
        <v>78</v>
      </c>
      <c r="B82" s="42" t="s">
        <v>3796</v>
      </c>
      <c r="C82" s="42" t="s">
        <v>3822</v>
      </c>
      <c r="D82" s="42" t="s">
        <v>187</v>
      </c>
      <c r="E82" s="42" t="s">
        <v>186</v>
      </c>
      <c r="F82" s="42" t="n">
        <v>2026</v>
      </c>
      <c r="G82" s="42" t="s">
        <v>188</v>
      </c>
      <c r="H82" s="42" t="s">
        <v>189</v>
      </c>
      <c r="I82" s="42" t="s">
        <v>3740</v>
      </c>
      <c r="J82" s="42" t="s">
        <v>25</v>
      </c>
      <c r="K82" s="42" t="n">
        <v>6</v>
      </c>
      <c r="L82" s="42" t="n">
        <v>6</v>
      </c>
      <c r="M82" s="42" t="s">
        <v>3741</v>
      </c>
      <c r="N82" s="42"/>
      <c r="O82" s="41"/>
      <c r="P82" s="41"/>
      <c r="Q82" s="41"/>
    </row>
    <row r="83" customFormat="false" ht="51.75" hidden="false" customHeight="true" outlineLevel="0" collapsed="false">
      <c r="A83" s="42" t="n">
        <v>79</v>
      </c>
      <c r="B83" s="42" t="s">
        <v>3796</v>
      </c>
      <c r="C83" s="42" t="s">
        <v>3823</v>
      </c>
      <c r="D83" s="42" t="s">
        <v>191</v>
      </c>
      <c r="E83" s="42" t="s">
        <v>190</v>
      </c>
      <c r="F83" s="42" t="n">
        <v>2025</v>
      </c>
      <c r="G83" s="42" t="s">
        <v>192</v>
      </c>
      <c r="H83" s="42" t="s">
        <v>193</v>
      </c>
      <c r="I83" s="42" t="s">
        <v>3743</v>
      </c>
      <c r="J83" s="42" t="s">
        <v>25</v>
      </c>
      <c r="K83" s="42" t="n">
        <v>12</v>
      </c>
      <c r="L83" s="42" t="n">
        <v>6</v>
      </c>
      <c r="M83" s="42" t="s">
        <v>3741</v>
      </c>
      <c r="N83" s="42"/>
      <c r="O83" s="41"/>
      <c r="P83" s="41"/>
      <c r="Q83" s="41"/>
    </row>
    <row r="84" customFormat="false" ht="51.75" hidden="false" customHeight="true" outlineLevel="0" collapsed="false">
      <c r="A84" s="42" t="n">
        <v>80</v>
      </c>
      <c r="B84" s="42" t="s">
        <v>3796</v>
      </c>
      <c r="C84" s="42" t="s">
        <v>3824</v>
      </c>
      <c r="D84" s="42" t="s">
        <v>195</v>
      </c>
      <c r="E84" s="42" t="s">
        <v>194</v>
      </c>
      <c r="F84" s="42" t="n">
        <v>2024</v>
      </c>
      <c r="G84" s="42" t="s">
        <v>166</v>
      </c>
      <c r="H84" s="42" t="s">
        <v>196</v>
      </c>
      <c r="I84" s="42" t="s">
        <v>3743</v>
      </c>
      <c r="J84" s="42" t="s">
        <v>25</v>
      </c>
      <c r="K84" s="42" t="n">
        <v>18</v>
      </c>
      <c r="L84" s="42" t="n">
        <v>6</v>
      </c>
      <c r="M84" s="42" t="s">
        <v>3741</v>
      </c>
      <c r="N84" s="42"/>
      <c r="O84" s="41"/>
      <c r="P84" s="41"/>
      <c r="Q84" s="41"/>
    </row>
    <row r="85" customFormat="false" ht="51.75" hidden="false" customHeight="true" outlineLevel="0" collapsed="false">
      <c r="A85" s="42" t="n">
        <v>81</v>
      </c>
      <c r="B85" s="42" t="s">
        <v>3796</v>
      </c>
      <c r="C85" s="42" t="s">
        <v>3825</v>
      </c>
      <c r="D85" s="42" t="s">
        <v>43</v>
      </c>
      <c r="E85" s="42" t="s">
        <v>42</v>
      </c>
      <c r="F85" s="42" t="n">
        <v>2021</v>
      </c>
      <c r="G85" s="42" t="s">
        <v>32</v>
      </c>
      <c r="H85" s="42" t="s">
        <v>44</v>
      </c>
      <c r="I85" s="42" t="s">
        <v>3743</v>
      </c>
      <c r="J85" s="42" t="s">
        <v>25</v>
      </c>
      <c r="K85" s="42" t="n">
        <v>36</v>
      </c>
      <c r="L85" s="42" t="n">
        <v>6</v>
      </c>
      <c r="M85" s="42" t="s">
        <v>3741</v>
      </c>
      <c r="N85" s="42"/>
      <c r="O85" s="41"/>
      <c r="P85" s="41"/>
      <c r="Q85" s="41"/>
    </row>
    <row r="86" customFormat="false" ht="25.5" hidden="false" customHeight="true" outlineLevel="0" collapsed="false">
      <c r="A86" s="42" t="n">
        <v>82</v>
      </c>
      <c r="B86" s="42" t="s">
        <v>3796</v>
      </c>
      <c r="C86" s="42" t="s">
        <v>3826</v>
      </c>
      <c r="D86" s="42" t="s">
        <v>1793</v>
      </c>
      <c r="E86" s="42" t="s">
        <v>1794</v>
      </c>
      <c r="F86" s="42" t="n">
        <v>2021</v>
      </c>
      <c r="G86" s="42" t="s">
        <v>1570</v>
      </c>
      <c r="H86" s="42" t="s">
        <v>1795</v>
      </c>
      <c r="I86" s="42" t="s">
        <v>409</v>
      </c>
      <c r="J86" s="42" t="s">
        <v>25</v>
      </c>
      <c r="K86" s="42" t="n">
        <v>36</v>
      </c>
      <c r="L86" s="42" t="n">
        <v>6</v>
      </c>
      <c r="M86" s="42" t="s">
        <v>3741</v>
      </c>
      <c r="N86" s="42"/>
      <c r="O86" s="41"/>
      <c r="P86" s="41"/>
      <c r="Q86" s="41"/>
    </row>
    <row r="87" customFormat="false" ht="39" hidden="false" customHeight="true" outlineLevel="0" collapsed="false">
      <c r="A87" s="42" t="n">
        <v>83</v>
      </c>
      <c r="B87" s="42" t="s">
        <v>3796</v>
      </c>
      <c r="C87" s="42" t="s">
        <v>3827</v>
      </c>
      <c r="D87" s="42" t="s">
        <v>198</v>
      </c>
      <c r="E87" s="42" t="s">
        <v>197</v>
      </c>
      <c r="F87" s="42" t="n">
        <v>2022</v>
      </c>
      <c r="G87" s="42" t="s">
        <v>32</v>
      </c>
      <c r="H87" s="42" t="s">
        <v>199</v>
      </c>
      <c r="I87" s="42" t="s">
        <v>409</v>
      </c>
      <c r="J87" s="42" t="s">
        <v>25</v>
      </c>
      <c r="K87" s="42" t="n">
        <v>29</v>
      </c>
      <c r="L87" s="42" t="n">
        <v>5.8</v>
      </c>
      <c r="M87" s="42" t="s">
        <v>3741</v>
      </c>
      <c r="N87" s="42"/>
      <c r="O87" s="41"/>
      <c r="P87" s="41"/>
      <c r="Q87" s="41"/>
    </row>
    <row r="88" customFormat="false" ht="39" hidden="false" customHeight="true" outlineLevel="0" collapsed="false">
      <c r="A88" s="42" t="n">
        <v>84</v>
      </c>
      <c r="B88" s="42" t="s">
        <v>3796</v>
      </c>
      <c r="C88" s="42" t="s">
        <v>3828</v>
      </c>
      <c r="D88" s="42" t="s">
        <v>183</v>
      </c>
      <c r="E88" s="42" t="s">
        <v>200</v>
      </c>
      <c r="F88" s="42" t="n">
        <v>2021</v>
      </c>
      <c r="G88" s="42" t="s">
        <v>66</v>
      </c>
      <c r="H88" s="42" t="s">
        <v>201</v>
      </c>
      <c r="I88" s="42" t="s">
        <v>3743</v>
      </c>
      <c r="J88" s="42" t="s">
        <v>25</v>
      </c>
      <c r="K88" s="42" t="n">
        <v>31</v>
      </c>
      <c r="L88" s="42" t="n">
        <v>5.17</v>
      </c>
      <c r="M88" s="42" t="s">
        <v>3741</v>
      </c>
      <c r="N88" s="42"/>
      <c r="O88" s="41"/>
      <c r="P88" s="41"/>
      <c r="Q88" s="41"/>
    </row>
    <row r="89" customFormat="false" ht="90.75" hidden="false" customHeight="true" outlineLevel="0" collapsed="false">
      <c r="A89" s="42" t="n">
        <v>85</v>
      </c>
      <c r="B89" s="42" t="s">
        <v>3796</v>
      </c>
      <c r="C89" s="42" t="s">
        <v>3829</v>
      </c>
      <c r="D89" s="42" t="s">
        <v>2824</v>
      </c>
      <c r="E89" s="42" t="s">
        <v>2825</v>
      </c>
      <c r="F89" s="42" t="n">
        <v>2026</v>
      </c>
      <c r="G89" s="42" t="s">
        <v>2826</v>
      </c>
      <c r="H89" s="42" t="s">
        <v>2827</v>
      </c>
      <c r="I89" s="42" t="s">
        <v>3740</v>
      </c>
      <c r="J89" s="42" t="s">
        <v>25</v>
      </c>
      <c r="K89" s="42" t="n">
        <v>5</v>
      </c>
      <c r="L89" s="42" t="n">
        <v>5</v>
      </c>
      <c r="M89" s="42" t="s">
        <v>3741</v>
      </c>
      <c r="N89" s="42"/>
      <c r="O89" s="41"/>
      <c r="P89" s="41"/>
      <c r="Q89" s="41"/>
    </row>
    <row r="90" customFormat="false" ht="51.75" hidden="false" customHeight="true" outlineLevel="0" collapsed="false">
      <c r="A90" s="42" t="n">
        <v>86</v>
      </c>
      <c r="B90" s="42" t="s">
        <v>3796</v>
      </c>
      <c r="C90" s="42" t="s">
        <v>3830</v>
      </c>
      <c r="D90" s="42" t="s">
        <v>2994</v>
      </c>
      <c r="E90" s="42" t="s">
        <v>2995</v>
      </c>
      <c r="F90" s="42" t="n">
        <v>2024</v>
      </c>
      <c r="G90" s="42" t="s">
        <v>2996</v>
      </c>
      <c r="H90" s="42" t="s">
        <v>2997</v>
      </c>
      <c r="I90" s="42" t="s">
        <v>3740</v>
      </c>
      <c r="J90" s="42" t="s">
        <v>25</v>
      </c>
      <c r="K90" s="42" t="n">
        <v>15</v>
      </c>
      <c r="L90" s="42" t="n">
        <v>5</v>
      </c>
      <c r="M90" s="42" t="s">
        <v>3741</v>
      </c>
      <c r="N90" s="42"/>
      <c r="O90" s="41"/>
      <c r="P90" s="41"/>
      <c r="Q90" s="41"/>
    </row>
    <row r="91" customFormat="false" ht="39" hidden="false" customHeight="true" outlineLevel="0" collapsed="false">
      <c r="A91" s="42" t="n">
        <v>87</v>
      </c>
      <c r="B91" s="42" t="s">
        <v>3796</v>
      </c>
      <c r="C91" s="42" t="s">
        <v>3831</v>
      </c>
      <c r="D91" s="42" t="s">
        <v>203</v>
      </c>
      <c r="E91" s="42" t="s">
        <v>202</v>
      </c>
      <c r="F91" s="42" t="n">
        <v>2023</v>
      </c>
      <c r="G91" s="42" t="s">
        <v>204</v>
      </c>
      <c r="H91" s="42" t="s">
        <v>205</v>
      </c>
      <c r="I91" s="42" t="s">
        <v>3795</v>
      </c>
      <c r="J91" s="42" t="s">
        <v>25</v>
      </c>
      <c r="K91" s="42" t="n">
        <v>20</v>
      </c>
      <c r="L91" s="42" t="n">
        <v>5</v>
      </c>
      <c r="M91" s="42" t="s">
        <v>3741</v>
      </c>
      <c r="N91" s="42"/>
      <c r="O91" s="41"/>
      <c r="P91" s="41"/>
      <c r="Q91" s="41"/>
    </row>
    <row r="92" customFormat="false" ht="39" hidden="false" customHeight="true" outlineLevel="0" collapsed="false">
      <c r="A92" s="42" t="n">
        <v>88</v>
      </c>
      <c r="B92" s="42" t="s">
        <v>3796</v>
      </c>
      <c r="C92" s="42" t="s">
        <v>3832</v>
      </c>
      <c r="D92" s="42" t="s">
        <v>1232</v>
      </c>
      <c r="E92" s="42" t="s">
        <v>1233</v>
      </c>
      <c r="F92" s="42" t="n">
        <v>2023</v>
      </c>
      <c r="G92" s="42" t="s">
        <v>1234</v>
      </c>
      <c r="H92" s="42" t="s">
        <v>1235</v>
      </c>
      <c r="I92" s="42" t="s">
        <v>3743</v>
      </c>
      <c r="J92" s="42" t="s">
        <v>25</v>
      </c>
      <c r="K92" s="42" t="n">
        <v>19</v>
      </c>
      <c r="L92" s="42" t="n">
        <v>4.75</v>
      </c>
      <c r="M92" s="42" t="s">
        <v>3741</v>
      </c>
      <c r="N92" s="42"/>
      <c r="O92" s="41"/>
      <c r="P92" s="41"/>
      <c r="Q92" s="41"/>
    </row>
    <row r="93" customFormat="false" ht="39" hidden="false" customHeight="true" outlineLevel="0" collapsed="false">
      <c r="A93" s="42" t="n">
        <v>89</v>
      </c>
      <c r="B93" s="42" t="s">
        <v>3796</v>
      </c>
      <c r="C93" s="42" t="s">
        <v>3833</v>
      </c>
      <c r="D93" s="42" t="s">
        <v>2148</v>
      </c>
      <c r="E93" s="42" t="s">
        <v>2149</v>
      </c>
      <c r="F93" s="42" t="n">
        <v>2019</v>
      </c>
      <c r="G93" s="42" t="s">
        <v>32</v>
      </c>
      <c r="H93" s="42" t="s">
        <v>2150</v>
      </c>
      <c r="I93" s="42" t="s">
        <v>3743</v>
      </c>
      <c r="J93" s="42" t="s">
        <v>25</v>
      </c>
      <c r="K93" s="42" t="n">
        <v>36</v>
      </c>
      <c r="L93" s="42" t="n">
        <v>4.5</v>
      </c>
      <c r="M93" s="42" t="s">
        <v>3741</v>
      </c>
      <c r="N93" s="42"/>
      <c r="O93" s="41"/>
      <c r="P93" s="41"/>
      <c r="Q93" s="41"/>
    </row>
    <row r="94" customFormat="false" ht="25.5" hidden="false" customHeight="true" outlineLevel="0" collapsed="false">
      <c r="A94" s="42" t="n">
        <v>90</v>
      </c>
      <c r="B94" s="42" t="s">
        <v>3796</v>
      </c>
      <c r="C94" s="42" t="s">
        <v>3834</v>
      </c>
      <c r="D94" s="42" t="s">
        <v>207</v>
      </c>
      <c r="E94" s="42" t="s">
        <v>206</v>
      </c>
      <c r="F94" s="42" t="n">
        <v>2023</v>
      </c>
      <c r="G94" s="42" t="s">
        <v>208</v>
      </c>
      <c r="H94" s="42" t="s">
        <v>209</v>
      </c>
      <c r="I94" s="42" t="s">
        <v>3795</v>
      </c>
      <c r="J94" s="42" t="s">
        <v>25</v>
      </c>
      <c r="K94" s="42" t="n">
        <v>18</v>
      </c>
      <c r="L94" s="42" t="n">
        <v>4.5</v>
      </c>
      <c r="M94" s="42" t="s">
        <v>3741</v>
      </c>
      <c r="N94" s="42"/>
      <c r="O94" s="41"/>
      <c r="P94" s="41"/>
      <c r="Q94" s="41"/>
    </row>
    <row r="95" customFormat="false" ht="51.75" hidden="false" customHeight="true" outlineLevel="0" collapsed="false">
      <c r="A95" s="42" t="n">
        <v>91</v>
      </c>
      <c r="B95" s="42" t="s">
        <v>3796</v>
      </c>
      <c r="C95" s="42" t="s">
        <v>3835</v>
      </c>
      <c r="D95" s="42" t="s">
        <v>360</v>
      </c>
      <c r="E95" s="42" t="s">
        <v>359</v>
      </c>
      <c r="F95" s="42" t="n">
        <v>2024</v>
      </c>
      <c r="G95" s="42" t="s">
        <v>254</v>
      </c>
      <c r="H95" s="42" t="s">
        <v>361</v>
      </c>
      <c r="I95" s="42" t="s">
        <v>3743</v>
      </c>
      <c r="J95" s="42" t="s">
        <v>25</v>
      </c>
      <c r="K95" s="42" t="n">
        <v>13</v>
      </c>
      <c r="L95" s="42" t="n">
        <v>4.33</v>
      </c>
      <c r="M95" s="42" t="s">
        <v>3741</v>
      </c>
      <c r="N95" s="42"/>
      <c r="O95" s="41"/>
      <c r="P95" s="41"/>
      <c r="Q95" s="41"/>
    </row>
    <row r="96" customFormat="false" ht="39" hidden="false" customHeight="true" outlineLevel="0" collapsed="false">
      <c r="A96" s="42" t="n">
        <v>92</v>
      </c>
      <c r="B96" s="42" t="s">
        <v>3796</v>
      </c>
      <c r="C96" s="42" t="s">
        <v>3836</v>
      </c>
      <c r="D96" s="42" t="s">
        <v>46</v>
      </c>
      <c r="E96" s="42" t="s">
        <v>45</v>
      </c>
      <c r="F96" s="42" t="n">
        <v>2016</v>
      </c>
      <c r="G96" s="42" t="s">
        <v>32</v>
      </c>
      <c r="H96" s="42" t="s">
        <v>47</v>
      </c>
      <c r="I96" s="42" t="s">
        <v>3743</v>
      </c>
      <c r="J96" s="42" t="s">
        <v>25</v>
      </c>
      <c r="K96" s="42" t="n">
        <v>47</v>
      </c>
      <c r="L96" s="42" t="n">
        <v>4.27</v>
      </c>
      <c r="M96" s="42" t="s">
        <v>3741</v>
      </c>
      <c r="N96" s="42"/>
      <c r="O96" s="41"/>
      <c r="P96" s="41"/>
      <c r="Q96" s="41"/>
    </row>
    <row r="97" customFormat="false" ht="39" hidden="false" customHeight="true" outlineLevel="0" collapsed="false">
      <c r="A97" s="42" t="n">
        <v>93</v>
      </c>
      <c r="B97" s="42" t="s">
        <v>3796</v>
      </c>
      <c r="C97" s="42" t="s">
        <v>3837</v>
      </c>
      <c r="D97" s="42" t="s">
        <v>1313</v>
      </c>
      <c r="E97" s="42" t="s">
        <v>1314</v>
      </c>
      <c r="F97" s="42" t="n">
        <v>2023</v>
      </c>
      <c r="G97" s="42" t="s">
        <v>1315</v>
      </c>
      <c r="H97" s="42" t="s">
        <v>1316</v>
      </c>
      <c r="I97" s="42" t="s">
        <v>409</v>
      </c>
      <c r="J97" s="42" t="s">
        <v>25</v>
      </c>
      <c r="K97" s="42" t="n">
        <v>17</v>
      </c>
      <c r="L97" s="42" t="n">
        <v>4.25</v>
      </c>
      <c r="M97" s="42" t="s">
        <v>3741</v>
      </c>
      <c r="N97" s="42"/>
      <c r="O97" s="41"/>
      <c r="P97" s="41"/>
      <c r="Q97" s="41"/>
    </row>
    <row r="98" customFormat="false" ht="90.75" hidden="false" customHeight="true" outlineLevel="0" collapsed="false">
      <c r="A98" s="42" t="n">
        <v>94</v>
      </c>
      <c r="B98" s="42" t="s">
        <v>3796</v>
      </c>
      <c r="C98" s="42" t="s">
        <v>3838</v>
      </c>
      <c r="D98" s="42" t="s">
        <v>924</v>
      </c>
      <c r="E98" s="42" t="s">
        <v>925</v>
      </c>
      <c r="F98" s="42" t="n">
        <v>2024</v>
      </c>
      <c r="G98" s="42" t="s">
        <v>727</v>
      </c>
      <c r="H98" s="42" t="s">
        <v>926</v>
      </c>
      <c r="I98" s="42" t="s">
        <v>3743</v>
      </c>
      <c r="J98" s="42" t="s">
        <v>25</v>
      </c>
      <c r="K98" s="42" t="n">
        <v>12</v>
      </c>
      <c r="L98" s="42" t="n">
        <v>4</v>
      </c>
      <c r="M98" s="42" t="s">
        <v>3741</v>
      </c>
      <c r="N98" s="42"/>
      <c r="O98" s="41"/>
      <c r="P98" s="41"/>
      <c r="Q98" s="41"/>
    </row>
    <row r="99" customFormat="false" ht="39" hidden="false" customHeight="true" outlineLevel="0" collapsed="false">
      <c r="A99" s="42" t="n">
        <v>95</v>
      </c>
      <c r="B99" s="42" t="s">
        <v>3796</v>
      </c>
      <c r="C99" s="42" t="s">
        <v>3839</v>
      </c>
      <c r="D99" s="42" t="s">
        <v>49</v>
      </c>
      <c r="E99" s="42" t="s">
        <v>48</v>
      </c>
      <c r="F99" s="42" t="n">
        <v>2023</v>
      </c>
      <c r="G99" s="42" t="s">
        <v>50</v>
      </c>
      <c r="H99" s="42" t="s">
        <v>51</v>
      </c>
      <c r="I99" s="42" t="s">
        <v>409</v>
      </c>
      <c r="J99" s="42" t="s">
        <v>25</v>
      </c>
      <c r="K99" s="42" t="n">
        <v>16</v>
      </c>
      <c r="L99" s="42" t="n">
        <v>4</v>
      </c>
      <c r="M99" s="42" t="s">
        <v>3741</v>
      </c>
      <c r="N99" s="42"/>
      <c r="O99" s="41"/>
      <c r="P99" s="41"/>
      <c r="Q99" s="41"/>
    </row>
    <row r="100" customFormat="false" ht="51.75" hidden="false" customHeight="true" outlineLevel="0" collapsed="false">
      <c r="A100" s="42" t="n">
        <v>96</v>
      </c>
      <c r="B100" s="42" t="s">
        <v>3796</v>
      </c>
      <c r="C100" s="42" t="s">
        <v>3840</v>
      </c>
      <c r="D100" s="42" t="s">
        <v>1542</v>
      </c>
      <c r="E100" s="42" t="s">
        <v>1543</v>
      </c>
      <c r="F100" s="42" t="n">
        <v>2022</v>
      </c>
      <c r="G100" s="42" t="s">
        <v>32</v>
      </c>
      <c r="H100" s="42" t="s">
        <v>1544</v>
      </c>
      <c r="I100" s="42" t="s">
        <v>3743</v>
      </c>
      <c r="J100" s="42" t="s">
        <v>25</v>
      </c>
      <c r="K100" s="42" t="n">
        <v>20</v>
      </c>
      <c r="L100" s="42" t="n">
        <v>4</v>
      </c>
      <c r="M100" s="42" t="s">
        <v>3741</v>
      </c>
      <c r="N100" s="42"/>
      <c r="O100" s="41"/>
      <c r="P100" s="41"/>
      <c r="Q100" s="41"/>
    </row>
    <row r="101" customFormat="false" ht="78" hidden="false" customHeight="true" outlineLevel="0" collapsed="false">
      <c r="A101" s="42" t="n">
        <v>97</v>
      </c>
      <c r="B101" s="42" t="s">
        <v>3796</v>
      </c>
      <c r="C101" s="42" t="s">
        <v>3841</v>
      </c>
      <c r="D101" s="42" t="s">
        <v>80</v>
      </c>
      <c r="E101" s="42" t="s">
        <v>79</v>
      </c>
      <c r="F101" s="42" t="n">
        <v>2017</v>
      </c>
      <c r="G101" s="42" t="s">
        <v>81</v>
      </c>
      <c r="H101" s="42" t="s">
        <v>82</v>
      </c>
      <c r="I101" s="42" t="s">
        <v>3743</v>
      </c>
      <c r="J101" s="42" t="s">
        <v>25</v>
      </c>
      <c r="K101" s="42" t="n">
        <v>40</v>
      </c>
      <c r="L101" s="42" t="n">
        <v>4</v>
      </c>
      <c r="M101" s="42" t="s">
        <v>3741</v>
      </c>
      <c r="N101" s="42"/>
      <c r="O101" s="41"/>
      <c r="P101" s="41"/>
      <c r="Q101" s="41"/>
    </row>
    <row r="102" customFormat="false" ht="39" hidden="false" customHeight="true" outlineLevel="0" collapsed="false">
      <c r="A102" s="42" t="n">
        <v>98</v>
      </c>
      <c r="B102" s="42" t="s">
        <v>3796</v>
      </c>
      <c r="C102" s="42" t="s">
        <v>3842</v>
      </c>
      <c r="D102" s="42" t="s">
        <v>53</v>
      </c>
      <c r="E102" s="42" t="s">
        <v>52</v>
      </c>
      <c r="F102" s="42" t="n">
        <v>2016</v>
      </c>
      <c r="G102" s="42" t="s">
        <v>54</v>
      </c>
      <c r="H102" s="42" t="s">
        <v>55</v>
      </c>
      <c r="I102" s="42" t="s">
        <v>3740</v>
      </c>
      <c r="J102" s="42" t="s">
        <v>25</v>
      </c>
      <c r="K102" s="42" t="n">
        <v>43</v>
      </c>
      <c r="L102" s="42" t="n">
        <v>3.91</v>
      </c>
      <c r="M102" s="42" t="s">
        <v>3741</v>
      </c>
      <c r="N102" s="42"/>
      <c r="O102" s="41"/>
      <c r="P102" s="41"/>
      <c r="Q102" s="41"/>
    </row>
    <row r="103" customFormat="false" ht="25.5" hidden="false" customHeight="true" outlineLevel="0" collapsed="false">
      <c r="A103" s="42" t="n">
        <v>99</v>
      </c>
      <c r="B103" s="42" t="s">
        <v>3796</v>
      </c>
      <c r="C103" s="42" t="s">
        <v>3843</v>
      </c>
      <c r="D103" s="42" t="s">
        <v>305</v>
      </c>
      <c r="E103" s="42" t="s">
        <v>304</v>
      </c>
      <c r="F103" s="42" t="n">
        <v>2022</v>
      </c>
      <c r="G103" s="42" t="s">
        <v>306</v>
      </c>
      <c r="H103" s="42" t="s">
        <v>307</v>
      </c>
      <c r="I103" s="42" t="s">
        <v>3740</v>
      </c>
      <c r="J103" s="42" t="s">
        <v>25</v>
      </c>
      <c r="K103" s="42" t="n">
        <v>19</v>
      </c>
      <c r="L103" s="42" t="n">
        <v>3.8</v>
      </c>
      <c r="M103" s="42" t="s">
        <v>3741</v>
      </c>
      <c r="N103" s="42"/>
      <c r="O103" s="41"/>
      <c r="P103" s="41"/>
      <c r="Q103" s="41"/>
    </row>
    <row r="104" customFormat="false" ht="39" hidden="false" customHeight="true" outlineLevel="0" collapsed="false">
      <c r="A104" s="42" t="n">
        <v>100</v>
      </c>
      <c r="B104" s="42" t="s">
        <v>3796</v>
      </c>
      <c r="C104" s="42" t="s">
        <v>3844</v>
      </c>
      <c r="D104" s="42" t="s">
        <v>2051</v>
      </c>
      <c r="E104" s="42" t="s">
        <v>2052</v>
      </c>
      <c r="F104" s="42" t="n">
        <v>2019</v>
      </c>
      <c r="G104" s="42" t="s">
        <v>107</v>
      </c>
      <c r="H104" s="42" t="s">
        <v>2053</v>
      </c>
      <c r="I104" s="42" t="s">
        <v>409</v>
      </c>
      <c r="J104" s="42" t="s">
        <v>25</v>
      </c>
      <c r="K104" s="42" t="n">
        <v>30</v>
      </c>
      <c r="L104" s="42" t="n">
        <v>3.75</v>
      </c>
      <c r="M104" s="42" t="s">
        <v>3741</v>
      </c>
      <c r="N104" s="42"/>
      <c r="O104" s="41"/>
      <c r="P104" s="41"/>
      <c r="Q104" s="41"/>
    </row>
    <row r="105" customFormat="false" ht="51.75" hidden="false" customHeight="true" outlineLevel="0" collapsed="false">
      <c r="A105" s="42" t="n">
        <v>101</v>
      </c>
      <c r="B105" s="42" t="s">
        <v>3796</v>
      </c>
      <c r="C105" s="42" t="s">
        <v>3845</v>
      </c>
      <c r="D105" s="42" t="s">
        <v>2224</v>
      </c>
      <c r="E105" s="42" t="s">
        <v>2625</v>
      </c>
      <c r="F105" s="42" t="n">
        <v>2016</v>
      </c>
      <c r="G105" s="42" t="s">
        <v>2626</v>
      </c>
      <c r="H105" s="42" t="s">
        <v>2627</v>
      </c>
      <c r="I105" s="42" t="s">
        <v>3743</v>
      </c>
      <c r="J105" s="42" t="s">
        <v>25</v>
      </c>
      <c r="K105" s="42" t="n">
        <v>41</v>
      </c>
      <c r="L105" s="42" t="n">
        <v>3.73</v>
      </c>
      <c r="M105" s="42" t="s">
        <v>3741</v>
      </c>
      <c r="N105" s="42"/>
      <c r="O105" s="41"/>
      <c r="P105" s="41"/>
      <c r="Q105" s="41"/>
    </row>
    <row r="106" customFormat="false" ht="51.75" hidden="false" customHeight="true" outlineLevel="0" collapsed="false">
      <c r="A106" s="42" t="n">
        <v>102</v>
      </c>
      <c r="B106" s="42" t="s">
        <v>3796</v>
      </c>
      <c r="C106" s="42" t="s">
        <v>3846</v>
      </c>
      <c r="D106" s="42" t="s">
        <v>1051</v>
      </c>
      <c r="E106" s="42" t="s">
        <v>1052</v>
      </c>
      <c r="F106" s="42" t="n">
        <v>2024</v>
      </c>
      <c r="G106" s="42" t="s">
        <v>598</v>
      </c>
      <c r="H106" s="42" t="s">
        <v>1053</v>
      </c>
      <c r="I106" s="42" t="s">
        <v>3743</v>
      </c>
      <c r="J106" s="42" t="s">
        <v>25</v>
      </c>
      <c r="K106" s="42" t="n">
        <v>11</v>
      </c>
      <c r="L106" s="42" t="n">
        <v>3.67</v>
      </c>
      <c r="M106" s="42" t="s">
        <v>3741</v>
      </c>
      <c r="N106" s="42"/>
      <c r="O106" s="41"/>
      <c r="P106" s="41"/>
      <c r="Q106" s="41"/>
    </row>
    <row r="107" customFormat="false" ht="25.5" hidden="false" customHeight="true" outlineLevel="0" collapsed="false">
      <c r="A107" s="42" t="n">
        <v>103</v>
      </c>
      <c r="B107" s="42" t="s">
        <v>3796</v>
      </c>
      <c r="C107" s="42" t="s">
        <v>3847</v>
      </c>
      <c r="D107" s="42" t="s">
        <v>858</v>
      </c>
      <c r="E107" s="42" t="s">
        <v>859</v>
      </c>
      <c r="F107" s="42" t="n">
        <v>2025</v>
      </c>
      <c r="G107" s="42" t="s">
        <v>598</v>
      </c>
      <c r="H107" s="42" t="s">
        <v>860</v>
      </c>
      <c r="I107" s="42" t="s">
        <v>3743</v>
      </c>
      <c r="J107" s="42" t="s">
        <v>25</v>
      </c>
      <c r="K107" s="42" t="n">
        <v>7</v>
      </c>
      <c r="L107" s="42" t="n">
        <v>3.5</v>
      </c>
      <c r="M107" s="42" t="s">
        <v>3741</v>
      </c>
      <c r="N107" s="42"/>
      <c r="O107" s="41"/>
      <c r="P107" s="41"/>
      <c r="Q107" s="41"/>
    </row>
    <row r="108" customFormat="false" ht="39" hidden="false" customHeight="true" outlineLevel="0" collapsed="false">
      <c r="A108" s="42" t="n">
        <v>104</v>
      </c>
      <c r="B108" s="42" t="s">
        <v>3796</v>
      </c>
      <c r="C108" s="42" t="s">
        <v>3848</v>
      </c>
      <c r="D108" s="42" t="s">
        <v>218</v>
      </c>
      <c r="E108" s="42" t="s">
        <v>217</v>
      </c>
      <c r="F108" s="42" t="n">
        <v>2025</v>
      </c>
      <c r="G108" s="42" t="s">
        <v>215</v>
      </c>
      <c r="H108" s="42" t="s">
        <v>219</v>
      </c>
      <c r="I108" s="42" t="s">
        <v>409</v>
      </c>
      <c r="J108" s="42" t="s">
        <v>25</v>
      </c>
      <c r="K108" s="42" t="n">
        <v>7</v>
      </c>
      <c r="L108" s="42" t="n">
        <v>3.5</v>
      </c>
      <c r="M108" s="42" t="s">
        <v>3741</v>
      </c>
      <c r="N108" s="42"/>
      <c r="O108" s="41"/>
      <c r="P108" s="41"/>
      <c r="Q108" s="41"/>
    </row>
    <row r="109" customFormat="false" ht="51.75" hidden="false" customHeight="true" outlineLevel="0" collapsed="false">
      <c r="A109" s="42" t="n">
        <v>105</v>
      </c>
      <c r="B109" s="42" t="s">
        <v>3796</v>
      </c>
      <c r="C109" s="42" t="s">
        <v>3849</v>
      </c>
      <c r="D109" s="42" t="s">
        <v>1296</v>
      </c>
      <c r="E109" s="42" t="s">
        <v>1297</v>
      </c>
      <c r="F109" s="42" t="n">
        <v>2023</v>
      </c>
      <c r="G109" s="42" t="s">
        <v>81</v>
      </c>
      <c r="H109" s="42" t="s">
        <v>1298</v>
      </c>
      <c r="I109" s="42" t="s">
        <v>3743</v>
      </c>
      <c r="J109" s="42" t="s">
        <v>25</v>
      </c>
      <c r="K109" s="42" t="n">
        <v>14</v>
      </c>
      <c r="L109" s="42" t="n">
        <v>3.5</v>
      </c>
      <c r="M109" s="42" t="s">
        <v>3741</v>
      </c>
      <c r="N109" s="42"/>
      <c r="O109" s="41"/>
      <c r="P109" s="41"/>
      <c r="Q109" s="41"/>
    </row>
    <row r="110" customFormat="false" ht="78" hidden="false" customHeight="true" outlineLevel="0" collapsed="false">
      <c r="A110" s="42" t="n">
        <v>106</v>
      </c>
      <c r="B110" s="42" t="s">
        <v>3796</v>
      </c>
      <c r="C110" s="42" t="s">
        <v>3850</v>
      </c>
      <c r="D110" s="42" t="s">
        <v>84</v>
      </c>
      <c r="E110" s="42" t="s">
        <v>83</v>
      </c>
      <c r="F110" s="42" t="n">
        <v>2020</v>
      </c>
      <c r="G110" s="42" t="s">
        <v>32</v>
      </c>
      <c r="H110" s="42" t="s">
        <v>85</v>
      </c>
      <c r="I110" s="42" t="s">
        <v>3743</v>
      </c>
      <c r="J110" s="42" t="s">
        <v>25</v>
      </c>
      <c r="K110" s="42" t="n">
        <v>24</v>
      </c>
      <c r="L110" s="42" t="n">
        <v>3.43</v>
      </c>
      <c r="M110" s="42" t="s">
        <v>3741</v>
      </c>
      <c r="N110" s="42"/>
      <c r="O110" s="41"/>
      <c r="P110" s="41"/>
      <c r="Q110" s="41"/>
    </row>
    <row r="111" customFormat="false" ht="39" hidden="false" customHeight="true" outlineLevel="0" collapsed="false">
      <c r="A111" s="42" t="n">
        <v>107</v>
      </c>
      <c r="B111" s="42" t="s">
        <v>3796</v>
      </c>
      <c r="C111" s="42" t="s">
        <v>3851</v>
      </c>
      <c r="D111" s="42" t="s">
        <v>1895</v>
      </c>
      <c r="E111" s="42" t="s">
        <v>1896</v>
      </c>
      <c r="F111" s="42" t="n">
        <v>2020</v>
      </c>
      <c r="G111" s="42" t="s">
        <v>166</v>
      </c>
      <c r="H111" s="42" t="s">
        <v>1897</v>
      </c>
      <c r="I111" s="42" t="s">
        <v>409</v>
      </c>
      <c r="J111" s="42" t="s">
        <v>25</v>
      </c>
      <c r="K111" s="42" t="n">
        <v>24</v>
      </c>
      <c r="L111" s="42" t="n">
        <v>3.43</v>
      </c>
      <c r="M111" s="42" t="s">
        <v>3741</v>
      </c>
      <c r="N111" s="42"/>
      <c r="O111" s="41"/>
      <c r="P111" s="41"/>
      <c r="Q111" s="41"/>
    </row>
    <row r="112" customFormat="false" ht="51.75" hidden="false" customHeight="true" outlineLevel="0" collapsed="false">
      <c r="A112" s="42" t="n">
        <v>108</v>
      </c>
      <c r="B112" s="42" t="s">
        <v>3796</v>
      </c>
      <c r="C112" s="42" t="s">
        <v>3852</v>
      </c>
      <c r="D112" s="42" t="s">
        <v>87</v>
      </c>
      <c r="E112" s="42" t="s">
        <v>86</v>
      </c>
      <c r="F112" s="42" t="n">
        <v>2017</v>
      </c>
      <c r="G112" s="42" t="s">
        <v>32</v>
      </c>
      <c r="H112" s="42" t="s">
        <v>88</v>
      </c>
      <c r="I112" s="42" t="s">
        <v>3743</v>
      </c>
      <c r="J112" s="42" t="s">
        <v>25</v>
      </c>
      <c r="K112" s="42" t="n">
        <v>33</v>
      </c>
      <c r="L112" s="42" t="n">
        <v>3.3</v>
      </c>
      <c r="M112" s="42" t="s">
        <v>3741</v>
      </c>
      <c r="N112" s="42"/>
      <c r="O112" s="41"/>
      <c r="P112" s="41"/>
      <c r="Q112" s="41"/>
    </row>
    <row r="113" customFormat="false" ht="39" hidden="false" customHeight="true" outlineLevel="0" collapsed="false">
      <c r="A113" s="42" t="n">
        <v>109</v>
      </c>
      <c r="B113" s="42" t="s">
        <v>3796</v>
      </c>
      <c r="C113" s="42" t="s">
        <v>3853</v>
      </c>
      <c r="D113" s="42" t="s">
        <v>2205</v>
      </c>
      <c r="E113" s="42" t="s">
        <v>2206</v>
      </c>
      <c r="F113" s="42" t="n">
        <v>2019</v>
      </c>
      <c r="G113" s="42" t="s">
        <v>908</v>
      </c>
      <c r="H113" s="42" t="s">
        <v>2207</v>
      </c>
      <c r="I113" s="42" t="s">
        <v>3743</v>
      </c>
      <c r="J113" s="42" t="s">
        <v>25</v>
      </c>
      <c r="K113" s="42" t="n">
        <v>26</v>
      </c>
      <c r="L113" s="42" t="n">
        <v>3.25</v>
      </c>
      <c r="M113" s="42" t="s">
        <v>3741</v>
      </c>
      <c r="N113" s="42"/>
      <c r="O113" s="41"/>
      <c r="P113" s="41"/>
      <c r="Q113" s="41"/>
    </row>
    <row r="114" customFormat="false" ht="25.5" hidden="false" customHeight="true" outlineLevel="0" collapsed="false">
      <c r="A114" s="42" t="n">
        <v>110</v>
      </c>
      <c r="B114" s="42" t="s">
        <v>3796</v>
      </c>
      <c r="C114" s="42" t="s">
        <v>3854</v>
      </c>
      <c r="D114" s="42" t="s">
        <v>2459</v>
      </c>
      <c r="E114" s="42" t="s">
        <v>2460</v>
      </c>
      <c r="F114" s="42" t="n">
        <v>2017</v>
      </c>
      <c r="G114" s="42" t="s">
        <v>81</v>
      </c>
      <c r="H114" s="42" t="s">
        <v>2461</v>
      </c>
      <c r="I114" s="42" t="s">
        <v>3743</v>
      </c>
      <c r="J114" s="42" t="s">
        <v>25</v>
      </c>
      <c r="K114" s="42" t="n">
        <v>32</v>
      </c>
      <c r="L114" s="42" t="n">
        <v>3.2</v>
      </c>
      <c r="M114" s="42" t="s">
        <v>3741</v>
      </c>
      <c r="N114" s="42"/>
      <c r="O114" s="41"/>
      <c r="P114" s="41"/>
      <c r="Q114" s="41"/>
    </row>
    <row r="115" customFormat="false" ht="39" hidden="false" customHeight="true" outlineLevel="0" collapsed="false">
      <c r="A115" s="42" t="n">
        <v>111</v>
      </c>
      <c r="B115" s="42" t="s">
        <v>3796</v>
      </c>
      <c r="C115" s="42" t="s">
        <v>3855</v>
      </c>
      <c r="D115" s="42" t="s">
        <v>1929</v>
      </c>
      <c r="E115" s="42" t="s">
        <v>1930</v>
      </c>
      <c r="F115" s="42" t="n">
        <v>2020</v>
      </c>
      <c r="G115" s="42" t="s">
        <v>145</v>
      </c>
      <c r="H115" s="42" t="s">
        <v>1931</v>
      </c>
      <c r="I115" s="42" t="s">
        <v>3743</v>
      </c>
      <c r="J115" s="42" t="s">
        <v>25</v>
      </c>
      <c r="K115" s="42" t="n">
        <v>22</v>
      </c>
      <c r="L115" s="42" t="n">
        <v>3.14</v>
      </c>
      <c r="M115" s="42" t="s">
        <v>3741</v>
      </c>
      <c r="N115" s="42"/>
      <c r="O115" s="41"/>
      <c r="P115" s="41"/>
      <c r="Q115" s="41"/>
    </row>
    <row r="116" customFormat="false" ht="39" hidden="false" customHeight="true" outlineLevel="0" collapsed="false">
      <c r="A116" s="42" t="n">
        <v>112</v>
      </c>
      <c r="B116" s="42" t="s">
        <v>3796</v>
      </c>
      <c r="C116" s="42" t="s">
        <v>3856</v>
      </c>
      <c r="D116" s="42" t="s">
        <v>2289</v>
      </c>
      <c r="E116" s="42" t="s">
        <v>2290</v>
      </c>
      <c r="F116" s="42" t="n">
        <v>2018</v>
      </c>
      <c r="G116" s="42" t="s">
        <v>81</v>
      </c>
      <c r="H116" s="42" t="s">
        <v>2291</v>
      </c>
      <c r="I116" s="42" t="s">
        <v>3743</v>
      </c>
      <c r="J116" s="42" t="s">
        <v>25</v>
      </c>
      <c r="K116" s="42" t="n">
        <v>28</v>
      </c>
      <c r="L116" s="42" t="n">
        <v>3.11</v>
      </c>
      <c r="M116" s="42" t="s">
        <v>3741</v>
      </c>
      <c r="N116" s="42"/>
      <c r="O116" s="41"/>
      <c r="P116" s="41"/>
      <c r="Q116" s="41"/>
    </row>
    <row r="117" customFormat="false" ht="39" hidden="false" customHeight="true" outlineLevel="0" collapsed="false">
      <c r="A117" s="42" t="n">
        <v>113</v>
      </c>
      <c r="B117" s="42" t="s">
        <v>3796</v>
      </c>
      <c r="C117" s="42" t="s">
        <v>3857</v>
      </c>
      <c r="D117" s="42" t="s">
        <v>2577</v>
      </c>
      <c r="E117" s="42" t="s">
        <v>2578</v>
      </c>
      <c r="F117" s="42" t="n">
        <v>2016</v>
      </c>
      <c r="G117" s="42" t="s">
        <v>580</v>
      </c>
      <c r="H117" s="42" t="s">
        <v>2579</v>
      </c>
      <c r="I117" s="42" t="s">
        <v>3743</v>
      </c>
      <c r="J117" s="42" t="s">
        <v>25</v>
      </c>
      <c r="K117" s="42" t="n">
        <v>34</v>
      </c>
      <c r="L117" s="42" t="n">
        <v>3.09</v>
      </c>
      <c r="M117" s="42" t="s">
        <v>3741</v>
      </c>
      <c r="N117" s="42"/>
      <c r="O117" s="41"/>
      <c r="P117" s="41"/>
      <c r="Q117" s="41"/>
    </row>
    <row r="118" customFormat="false" ht="25.5" hidden="false" customHeight="true" outlineLevel="0" collapsed="false">
      <c r="A118" s="42" t="n">
        <v>114</v>
      </c>
      <c r="B118" s="42" t="s">
        <v>3796</v>
      </c>
      <c r="C118" s="42" t="s">
        <v>3858</v>
      </c>
      <c r="D118" s="42" t="s">
        <v>154</v>
      </c>
      <c r="E118" s="42" t="s">
        <v>659</v>
      </c>
      <c r="F118" s="42" t="n">
        <v>2026</v>
      </c>
      <c r="G118" s="42" t="s">
        <v>208</v>
      </c>
      <c r="H118" s="42" t="s">
        <v>660</v>
      </c>
      <c r="I118" s="42" t="s">
        <v>3743</v>
      </c>
      <c r="J118" s="42" t="s">
        <v>25</v>
      </c>
      <c r="K118" s="42" t="n">
        <v>3</v>
      </c>
      <c r="L118" s="42" t="n">
        <v>3</v>
      </c>
      <c r="M118" s="42" t="s">
        <v>3741</v>
      </c>
      <c r="N118" s="42"/>
      <c r="O118" s="41"/>
      <c r="P118" s="41"/>
      <c r="Q118" s="41"/>
    </row>
    <row r="119" customFormat="false" ht="51.75" hidden="false" customHeight="true" outlineLevel="0" collapsed="false">
      <c r="A119" s="42" t="n">
        <v>115</v>
      </c>
      <c r="B119" s="42" t="s">
        <v>3796</v>
      </c>
      <c r="C119" s="42" t="s">
        <v>3859</v>
      </c>
      <c r="D119" s="42" t="s">
        <v>57</v>
      </c>
      <c r="E119" s="42" t="s">
        <v>56</v>
      </c>
      <c r="F119" s="42" t="n">
        <v>2025</v>
      </c>
      <c r="G119" s="42" t="s">
        <v>58</v>
      </c>
      <c r="H119" s="42" t="s">
        <v>59</v>
      </c>
      <c r="I119" s="42" t="s">
        <v>3743</v>
      </c>
      <c r="J119" s="42" t="s">
        <v>25</v>
      </c>
      <c r="K119" s="42" t="n">
        <v>6</v>
      </c>
      <c r="L119" s="42" t="n">
        <v>3</v>
      </c>
      <c r="M119" s="42" t="s">
        <v>3741</v>
      </c>
      <c r="N119" s="42"/>
      <c r="O119" s="41"/>
      <c r="P119" s="41"/>
      <c r="Q119" s="41"/>
    </row>
    <row r="120" customFormat="false" ht="39" hidden="false" customHeight="true" outlineLevel="0" collapsed="false">
      <c r="A120" s="42" t="n">
        <v>116</v>
      </c>
      <c r="B120" s="42" t="s">
        <v>3796</v>
      </c>
      <c r="C120" s="42" t="s">
        <v>3860</v>
      </c>
      <c r="D120" s="42" t="s">
        <v>195</v>
      </c>
      <c r="E120" s="42" t="s">
        <v>781</v>
      </c>
      <c r="F120" s="42" t="n">
        <v>2025</v>
      </c>
      <c r="G120" s="42" t="s">
        <v>81</v>
      </c>
      <c r="H120" s="42" t="s">
        <v>782</v>
      </c>
      <c r="I120" s="42" t="s">
        <v>409</v>
      </c>
      <c r="J120" s="42" t="s">
        <v>25</v>
      </c>
      <c r="K120" s="42" t="n">
        <v>6</v>
      </c>
      <c r="L120" s="42" t="n">
        <v>3</v>
      </c>
      <c r="M120" s="42" t="s">
        <v>3741</v>
      </c>
      <c r="N120" s="42"/>
      <c r="O120" s="41"/>
      <c r="P120" s="41"/>
      <c r="Q120" s="41"/>
    </row>
    <row r="121" customFormat="false" ht="39" hidden="false" customHeight="true" outlineLevel="0" collapsed="false">
      <c r="A121" s="42" t="n">
        <v>117</v>
      </c>
      <c r="B121" s="42" t="s">
        <v>3796</v>
      </c>
      <c r="C121" s="42" t="s">
        <v>3861</v>
      </c>
      <c r="D121" s="42" t="s">
        <v>3231</v>
      </c>
      <c r="E121" s="42" t="s">
        <v>3232</v>
      </c>
      <c r="F121" s="42" t="n">
        <v>2020</v>
      </c>
      <c r="G121" s="42" t="s">
        <v>3233</v>
      </c>
      <c r="H121" s="42" t="s">
        <v>3234</v>
      </c>
      <c r="I121" s="42" t="s">
        <v>3740</v>
      </c>
      <c r="J121" s="42" t="s">
        <v>25</v>
      </c>
      <c r="K121" s="42" t="n">
        <v>21</v>
      </c>
      <c r="L121" s="42" t="n">
        <v>3</v>
      </c>
      <c r="M121" s="42" t="s">
        <v>3741</v>
      </c>
      <c r="N121" s="42"/>
      <c r="O121" s="41"/>
      <c r="P121" s="41"/>
      <c r="Q121" s="41"/>
    </row>
    <row r="122" customFormat="false" ht="39" hidden="false" customHeight="true" outlineLevel="0" collapsed="false">
      <c r="A122" s="42" t="n">
        <v>118</v>
      </c>
      <c r="B122" s="42" t="s">
        <v>3796</v>
      </c>
      <c r="C122" s="42" t="s">
        <v>3862</v>
      </c>
      <c r="D122" s="42" t="s">
        <v>1890</v>
      </c>
      <c r="E122" s="42" t="s">
        <v>1891</v>
      </c>
      <c r="F122" s="42" t="n">
        <v>2020</v>
      </c>
      <c r="G122" s="42" t="s">
        <v>32</v>
      </c>
      <c r="H122" s="42" t="s">
        <v>1892</v>
      </c>
      <c r="I122" s="42" t="s">
        <v>409</v>
      </c>
      <c r="J122" s="42" t="s">
        <v>25</v>
      </c>
      <c r="K122" s="42" t="n">
        <v>20</v>
      </c>
      <c r="L122" s="42" t="n">
        <v>2.86</v>
      </c>
      <c r="M122" s="42" t="s">
        <v>3741</v>
      </c>
      <c r="N122" s="42"/>
      <c r="O122" s="41"/>
      <c r="P122" s="41"/>
      <c r="Q122" s="41"/>
    </row>
    <row r="123" customFormat="false" ht="51.75" hidden="false" customHeight="true" outlineLevel="0" collapsed="false">
      <c r="A123" s="42" t="n">
        <v>119</v>
      </c>
      <c r="B123" s="42" t="s">
        <v>3796</v>
      </c>
      <c r="C123" s="42" t="s">
        <v>3863</v>
      </c>
      <c r="D123" s="42" t="s">
        <v>2007</v>
      </c>
      <c r="E123" s="42" t="s">
        <v>2008</v>
      </c>
      <c r="F123" s="42" t="n">
        <v>2020</v>
      </c>
      <c r="G123" s="42" t="s">
        <v>145</v>
      </c>
      <c r="H123" s="42" t="s">
        <v>2009</v>
      </c>
      <c r="I123" s="42" t="s">
        <v>409</v>
      </c>
      <c r="J123" s="42" t="s">
        <v>25</v>
      </c>
      <c r="K123" s="42" t="n">
        <v>20</v>
      </c>
      <c r="L123" s="42" t="n">
        <v>2.86</v>
      </c>
      <c r="M123" s="42" t="s">
        <v>3741</v>
      </c>
      <c r="N123" s="42"/>
      <c r="O123" s="41"/>
      <c r="P123" s="41"/>
      <c r="Q123" s="41"/>
    </row>
    <row r="124" customFormat="false" ht="39" hidden="false" customHeight="true" outlineLevel="0" collapsed="false">
      <c r="A124" s="42" t="n">
        <v>120</v>
      </c>
      <c r="B124" s="42" t="s">
        <v>3796</v>
      </c>
      <c r="C124" s="42" t="s">
        <v>3864</v>
      </c>
      <c r="D124" s="42" t="s">
        <v>61</v>
      </c>
      <c r="E124" s="42" t="s">
        <v>60</v>
      </c>
      <c r="F124" s="42" t="n">
        <v>2021</v>
      </c>
      <c r="G124" s="42" t="s">
        <v>62</v>
      </c>
      <c r="H124" s="42" t="s">
        <v>63</v>
      </c>
      <c r="I124" s="42" t="s">
        <v>409</v>
      </c>
      <c r="J124" s="42" t="s">
        <v>25</v>
      </c>
      <c r="K124" s="42" t="n">
        <v>17</v>
      </c>
      <c r="L124" s="42" t="n">
        <v>2.83</v>
      </c>
      <c r="M124" s="42" t="s">
        <v>3741</v>
      </c>
      <c r="N124" s="42"/>
      <c r="O124" s="41"/>
      <c r="P124" s="41"/>
      <c r="Q124" s="41"/>
    </row>
    <row r="125" customFormat="false" ht="64.5" hidden="false" customHeight="true" outlineLevel="0" collapsed="false">
      <c r="A125" s="42" t="n">
        <v>121</v>
      </c>
      <c r="B125" s="42" t="s">
        <v>3796</v>
      </c>
      <c r="C125" s="42" t="s">
        <v>3865</v>
      </c>
      <c r="D125" s="42" t="s">
        <v>3100</v>
      </c>
      <c r="E125" s="42" t="s">
        <v>3101</v>
      </c>
      <c r="F125" s="42" t="n">
        <v>2022</v>
      </c>
      <c r="G125" s="42" t="s">
        <v>2890</v>
      </c>
      <c r="H125" s="42" t="s">
        <v>3102</v>
      </c>
      <c r="I125" s="42" t="s">
        <v>3740</v>
      </c>
      <c r="J125" s="42" t="s">
        <v>25</v>
      </c>
      <c r="K125" s="42" t="n">
        <v>14</v>
      </c>
      <c r="L125" s="42" t="n">
        <v>2.8</v>
      </c>
      <c r="M125" s="42" t="s">
        <v>3741</v>
      </c>
      <c r="N125" s="42"/>
      <c r="O125" s="41"/>
      <c r="P125" s="41"/>
      <c r="Q125" s="41"/>
    </row>
    <row r="126" customFormat="false" ht="51.75" hidden="false" customHeight="true" outlineLevel="0" collapsed="false">
      <c r="A126" s="42" t="n">
        <v>122</v>
      </c>
      <c r="B126" s="42" t="s">
        <v>3796</v>
      </c>
      <c r="C126" s="42" t="s">
        <v>3866</v>
      </c>
      <c r="D126" s="42" t="s">
        <v>2070</v>
      </c>
      <c r="E126" s="42" t="s">
        <v>2071</v>
      </c>
      <c r="F126" s="42" t="n">
        <v>2019</v>
      </c>
      <c r="G126" s="42" t="s">
        <v>986</v>
      </c>
      <c r="H126" s="42" t="s">
        <v>2072</v>
      </c>
      <c r="I126" s="42" t="s">
        <v>3743</v>
      </c>
      <c r="J126" s="42" t="s">
        <v>25</v>
      </c>
      <c r="K126" s="42" t="n">
        <v>22</v>
      </c>
      <c r="L126" s="42" t="n">
        <v>2.75</v>
      </c>
      <c r="M126" s="42" t="s">
        <v>3741</v>
      </c>
      <c r="N126" s="42"/>
      <c r="O126" s="41"/>
      <c r="P126" s="41"/>
      <c r="Q126" s="41"/>
    </row>
    <row r="127" customFormat="false" ht="39" hidden="false" customHeight="true" outlineLevel="0" collapsed="false">
      <c r="A127" s="42" t="n">
        <v>123</v>
      </c>
      <c r="B127" s="42" t="s">
        <v>3796</v>
      </c>
      <c r="C127" s="42" t="s">
        <v>3867</v>
      </c>
      <c r="D127" s="42" t="s">
        <v>1850</v>
      </c>
      <c r="E127" s="42" t="s">
        <v>1851</v>
      </c>
      <c r="F127" s="42" t="n">
        <v>2020</v>
      </c>
      <c r="G127" s="42" t="s">
        <v>32</v>
      </c>
      <c r="H127" s="42" t="s">
        <v>1852</v>
      </c>
      <c r="I127" s="42" t="s">
        <v>3743</v>
      </c>
      <c r="J127" s="42" t="s">
        <v>25</v>
      </c>
      <c r="K127" s="42" t="n">
        <v>19</v>
      </c>
      <c r="L127" s="42" t="n">
        <v>2.71</v>
      </c>
      <c r="M127" s="42" t="s">
        <v>3741</v>
      </c>
      <c r="N127" s="42"/>
      <c r="O127" s="41"/>
      <c r="P127" s="41"/>
      <c r="Q127" s="41"/>
    </row>
    <row r="128" customFormat="false" ht="39" hidden="false" customHeight="true" outlineLevel="0" collapsed="false">
      <c r="A128" s="42" t="n">
        <v>124</v>
      </c>
      <c r="B128" s="42" t="s">
        <v>3796</v>
      </c>
      <c r="C128" s="42" t="s">
        <v>3868</v>
      </c>
      <c r="D128" s="42" t="s">
        <v>65</v>
      </c>
      <c r="E128" s="42" t="s">
        <v>64</v>
      </c>
      <c r="F128" s="42" t="n">
        <v>2020</v>
      </c>
      <c r="G128" s="42" t="s">
        <v>66</v>
      </c>
      <c r="H128" s="42" t="s">
        <v>67</v>
      </c>
      <c r="I128" s="42" t="s">
        <v>3743</v>
      </c>
      <c r="J128" s="42" t="s">
        <v>25</v>
      </c>
      <c r="K128" s="42" t="n">
        <v>19</v>
      </c>
      <c r="L128" s="42" t="n">
        <v>2.71</v>
      </c>
      <c r="M128" s="42" t="s">
        <v>3741</v>
      </c>
      <c r="N128" s="42"/>
      <c r="O128" s="41"/>
      <c r="P128" s="41"/>
      <c r="Q128" s="41"/>
    </row>
    <row r="129" customFormat="false" ht="51.75" hidden="false" customHeight="true" outlineLevel="0" collapsed="false">
      <c r="A129" s="42" t="n">
        <v>125</v>
      </c>
      <c r="B129" s="42" t="s">
        <v>3796</v>
      </c>
      <c r="C129" s="42" t="s">
        <v>3869</v>
      </c>
      <c r="D129" s="42" t="s">
        <v>69</v>
      </c>
      <c r="E129" s="42" t="s">
        <v>68</v>
      </c>
      <c r="F129" s="42" t="n">
        <v>2024</v>
      </c>
      <c r="G129" s="42" t="s">
        <v>70</v>
      </c>
      <c r="H129" s="42" t="s">
        <v>71</v>
      </c>
      <c r="I129" s="42" t="s">
        <v>3740</v>
      </c>
      <c r="J129" s="42" t="s">
        <v>25</v>
      </c>
      <c r="K129" s="42" t="n">
        <v>8</v>
      </c>
      <c r="L129" s="42" t="n">
        <v>2.67</v>
      </c>
      <c r="M129" s="42" t="s">
        <v>3741</v>
      </c>
      <c r="N129" s="42"/>
      <c r="O129" s="41"/>
      <c r="P129" s="41"/>
      <c r="Q129" s="41"/>
    </row>
    <row r="130" customFormat="false" ht="25.5" hidden="false" customHeight="true" outlineLevel="0" collapsed="false">
      <c r="A130" s="42" t="n">
        <v>126</v>
      </c>
      <c r="B130" s="42" t="s">
        <v>3796</v>
      </c>
      <c r="C130" s="42" t="s">
        <v>3870</v>
      </c>
      <c r="D130" s="42" t="s">
        <v>2095</v>
      </c>
      <c r="E130" s="42" t="s">
        <v>2096</v>
      </c>
      <c r="F130" s="42" t="n">
        <v>2019</v>
      </c>
      <c r="G130" s="42" t="s">
        <v>32</v>
      </c>
      <c r="H130" s="42" t="s">
        <v>2097</v>
      </c>
      <c r="I130" s="42" t="s">
        <v>3743</v>
      </c>
      <c r="J130" s="42" t="s">
        <v>25</v>
      </c>
      <c r="K130" s="42" t="n">
        <v>21</v>
      </c>
      <c r="L130" s="42" t="n">
        <v>2.62</v>
      </c>
      <c r="M130" s="42" t="s">
        <v>3741</v>
      </c>
      <c r="N130" s="42"/>
      <c r="O130" s="41"/>
      <c r="P130" s="41"/>
      <c r="Q130" s="41"/>
    </row>
    <row r="131" customFormat="false" ht="39" hidden="false" customHeight="true" outlineLevel="0" collapsed="false">
      <c r="A131" s="42" t="n">
        <v>127</v>
      </c>
      <c r="B131" s="42" t="s">
        <v>3796</v>
      </c>
      <c r="C131" s="42" t="s">
        <v>3871</v>
      </c>
      <c r="D131" s="42" t="s">
        <v>1622</v>
      </c>
      <c r="E131" s="42" t="s">
        <v>1623</v>
      </c>
      <c r="F131" s="42" t="n">
        <v>2022</v>
      </c>
      <c r="G131" s="42" t="s">
        <v>32</v>
      </c>
      <c r="H131" s="42" t="s">
        <v>1624</v>
      </c>
      <c r="I131" s="42" t="s">
        <v>409</v>
      </c>
      <c r="J131" s="42" t="s">
        <v>25</v>
      </c>
      <c r="K131" s="42" t="n">
        <v>13</v>
      </c>
      <c r="L131" s="42" t="n">
        <v>2.6</v>
      </c>
      <c r="M131" s="42" t="s">
        <v>3741</v>
      </c>
      <c r="N131" s="42"/>
      <c r="O131" s="41"/>
      <c r="P131" s="41"/>
      <c r="Q131" s="41"/>
    </row>
    <row r="132" customFormat="false" ht="39" hidden="false" customHeight="true" outlineLevel="0" collapsed="false">
      <c r="A132" s="42" t="n">
        <v>128</v>
      </c>
      <c r="B132" s="42" t="s">
        <v>3796</v>
      </c>
      <c r="C132" s="42" t="s">
        <v>3872</v>
      </c>
      <c r="D132" s="42" t="s">
        <v>1627</v>
      </c>
      <c r="E132" s="42" t="s">
        <v>1628</v>
      </c>
      <c r="F132" s="42" t="n">
        <v>2022</v>
      </c>
      <c r="G132" s="42" t="s">
        <v>130</v>
      </c>
      <c r="H132" s="42" t="s">
        <v>1629</v>
      </c>
      <c r="I132" s="42" t="s">
        <v>3743</v>
      </c>
      <c r="J132" s="42" t="s">
        <v>25</v>
      </c>
      <c r="K132" s="42" t="n">
        <v>13</v>
      </c>
      <c r="L132" s="42" t="n">
        <v>2.6</v>
      </c>
      <c r="M132" s="42" t="s">
        <v>3741</v>
      </c>
      <c r="N132" s="42"/>
      <c r="O132" s="41"/>
      <c r="P132" s="41"/>
      <c r="Q132" s="41"/>
    </row>
    <row r="133" customFormat="false" ht="25.5" hidden="false" customHeight="true" outlineLevel="0" collapsed="false">
      <c r="A133" s="42" t="n">
        <v>129</v>
      </c>
      <c r="B133" s="42" t="s">
        <v>3796</v>
      </c>
      <c r="C133" s="42" t="s">
        <v>3873</v>
      </c>
      <c r="D133" s="42" t="s">
        <v>3107</v>
      </c>
      <c r="E133" s="42" t="s">
        <v>3108</v>
      </c>
      <c r="F133" s="42" t="n">
        <v>2022</v>
      </c>
      <c r="G133" s="42" t="s">
        <v>3109</v>
      </c>
      <c r="H133" s="42" t="s">
        <v>3110</v>
      </c>
      <c r="I133" s="42" t="s">
        <v>3740</v>
      </c>
      <c r="J133" s="42" t="s">
        <v>25</v>
      </c>
      <c r="K133" s="42" t="n">
        <v>13</v>
      </c>
      <c r="L133" s="42" t="n">
        <v>2.6</v>
      </c>
      <c r="M133" s="42" t="s">
        <v>3741</v>
      </c>
      <c r="N133" s="42"/>
      <c r="O133" s="41"/>
      <c r="P133" s="41"/>
      <c r="Q133" s="41"/>
    </row>
    <row r="134" customFormat="false" ht="39" hidden="false" customHeight="true" outlineLevel="0" collapsed="false">
      <c r="A134" s="42" t="n">
        <v>130</v>
      </c>
      <c r="B134" s="42" t="s">
        <v>3796</v>
      </c>
      <c r="C134" s="42" t="s">
        <v>3874</v>
      </c>
      <c r="D134" s="42" t="s">
        <v>221</v>
      </c>
      <c r="E134" s="42" t="s">
        <v>220</v>
      </c>
      <c r="F134" s="42" t="n">
        <v>2020</v>
      </c>
      <c r="G134" s="42" t="s">
        <v>155</v>
      </c>
      <c r="H134" s="42" t="s">
        <v>222</v>
      </c>
      <c r="I134" s="42" t="s">
        <v>3743</v>
      </c>
      <c r="J134" s="42" t="s">
        <v>25</v>
      </c>
      <c r="K134" s="42" t="n">
        <v>18</v>
      </c>
      <c r="L134" s="42" t="n">
        <v>2.57</v>
      </c>
      <c r="M134" s="42" t="s">
        <v>3741</v>
      </c>
      <c r="N134" s="42"/>
      <c r="O134" s="41"/>
      <c r="P134" s="41"/>
      <c r="Q134" s="41"/>
    </row>
    <row r="135" customFormat="false" ht="39" hidden="false" customHeight="true" outlineLevel="0" collapsed="false">
      <c r="A135" s="42" t="n">
        <v>131</v>
      </c>
      <c r="B135" s="42" t="s">
        <v>3796</v>
      </c>
      <c r="C135" s="42" t="s">
        <v>3875</v>
      </c>
      <c r="D135" s="42" t="s">
        <v>73</v>
      </c>
      <c r="E135" s="42" t="s">
        <v>72</v>
      </c>
      <c r="F135" s="42" t="n">
        <v>2018</v>
      </c>
      <c r="G135" s="42" t="s">
        <v>32</v>
      </c>
      <c r="H135" s="42" t="s">
        <v>74</v>
      </c>
      <c r="I135" s="42" t="s">
        <v>3743</v>
      </c>
      <c r="J135" s="42" t="s">
        <v>25</v>
      </c>
      <c r="K135" s="42" t="n">
        <v>23</v>
      </c>
      <c r="L135" s="42" t="n">
        <v>2.56</v>
      </c>
      <c r="M135" s="42" t="s">
        <v>3741</v>
      </c>
      <c r="N135" s="42"/>
      <c r="O135" s="41"/>
      <c r="P135" s="41"/>
      <c r="Q135" s="41"/>
    </row>
    <row r="136" customFormat="false" ht="64.5" hidden="false" customHeight="true" outlineLevel="0" collapsed="false">
      <c r="A136" s="42" t="n">
        <v>132</v>
      </c>
      <c r="B136" s="42" t="s">
        <v>3796</v>
      </c>
      <c r="C136" s="42" t="s">
        <v>3876</v>
      </c>
      <c r="D136" s="42" t="s">
        <v>2649</v>
      </c>
      <c r="E136" s="42" t="s">
        <v>2650</v>
      </c>
      <c r="F136" s="42" t="n">
        <v>2016</v>
      </c>
      <c r="G136" s="42" t="s">
        <v>32</v>
      </c>
      <c r="H136" s="42" t="s">
        <v>2651</v>
      </c>
      <c r="I136" s="42" t="s">
        <v>409</v>
      </c>
      <c r="J136" s="42" t="s">
        <v>25</v>
      </c>
      <c r="K136" s="42" t="n">
        <v>28</v>
      </c>
      <c r="L136" s="42" t="n">
        <v>2.55</v>
      </c>
      <c r="M136" s="42" t="s">
        <v>3741</v>
      </c>
      <c r="N136" s="42"/>
      <c r="O136" s="41"/>
      <c r="P136" s="41"/>
      <c r="Q136" s="41"/>
    </row>
    <row r="137" customFormat="false" ht="51.75" hidden="false" customHeight="true" outlineLevel="0" collapsed="false">
      <c r="A137" s="42" t="n">
        <v>133</v>
      </c>
      <c r="B137" s="42" t="s">
        <v>3796</v>
      </c>
      <c r="C137" s="42" t="s">
        <v>3877</v>
      </c>
      <c r="D137" s="42" t="s">
        <v>1768</v>
      </c>
      <c r="E137" s="42" t="s">
        <v>1769</v>
      </c>
      <c r="F137" s="42" t="n">
        <v>2021</v>
      </c>
      <c r="G137" s="42" t="s">
        <v>32</v>
      </c>
      <c r="H137" s="42" t="s">
        <v>1770</v>
      </c>
      <c r="I137" s="42" t="s">
        <v>3743</v>
      </c>
      <c r="J137" s="42" t="s">
        <v>25</v>
      </c>
      <c r="K137" s="42" t="n">
        <v>15</v>
      </c>
      <c r="L137" s="42" t="n">
        <v>2.5</v>
      </c>
      <c r="M137" s="42" t="s">
        <v>3741</v>
      </c>
      <c r="N137" s="42"/>
      <c r="O137" s="41"/>
      <c r="P137" s="41"/>
      <c r="Q137" s="41"/>
    </row>
    <row r="138" customFormat="false" ht="25.5" hidden="false" customHeight="true" outlineLevel="0" collapsed="false">
      <c r="A138" s="42" t="n">
        <v>134</v>
      </c>
      <c r="B138" s="42" t="s">
        <v>3796</v>
      </c>
      <c r="C138" s="42" t="s">
        <v>3878</v>
      </c>
      <c r="D138" s="42" t="s">
        <v>76</v>
      </c>
      <c r="E138" s="42" t="s">
        <v>75</v>
      </c>
      <c r="F138" s="42" t="n">
        <v>2021</v>
      </c>
      <c r="G138" s="42" t="s">
        <v>77</v>
      </c>
      <c r="H138" s="42" t="s">
        <v>78</v>
      </c>
      <c r="I138" s="42" t="s">
        <v>3743</v>
      </c>
      <c r="J138" s="42" t="s">
        <v>25</v>
      </c>
      <c r="K138" s="42" t="n">
        <v>15</v>
      </c>
      <c r="L138" s="42" t="n">
        <v>2.5</v>
      </c>
      <c r="M138" s="42" t="s">
        <v>3741</v>
      </c>
      <c r="N138" s="42"/>
      <c r="O138" s="41"/>
      <c r="P138" s="41"/>
      <c r="Q138" s="41"/>
    </row>
    <row r="139" customFormat="false" ht="39" hidden="false" customHeight="true" outlineLevel="0" collapsed="false">
      <c r="A139" s="42" t="n">
        <v>135</v>
      </c>
      <c r="B139" s="42" t="s">
        <v>3796</v>
      </c>
      <c r="C139" s="42" t="s">
        <v>3879</v>
      </c>
      <c r="D139" s="42" t="s">
        <v>2355</v>
      </c>
      <c r="E139" s="42" t="s">
        <v>2356</v>
      </c>
      <c r="F139" s="42" t="n">
        <v>2017</v>
      </c>
      <c r="G139" s="42" t="s">
        <v>107</v>
      </c>
      <c r="H139" s="42" t="s">
        <v>2357</v>
      </c>
      <c r="I139" s="42" t="s">
        <v>409</v>
      </c>
      <c r="J139" s="42" t="s">
        <v>25</v>
      </c>
      <c r="K139" s="42" t="n">
        <v>25</v>
      </c>
      <c r="L139" s="42" t="n">
        <v>2.5</v>
      </c>
      <c r="M139" s="42" t="s">
        <v>3741</v>
      </c>
      <c r="N139" s="42"/>
      <c r="O139" s="41"/>
      <c r="P139" s="41"/>
      <c r="Q139" s="41"/>
    </row>
    <row r="140" customFormat="false" ht="39" hidden="false" customHeight="true" outlineLevel="0" collapsed="false">
      <c r="A140" s="42" t="n">
        <v>136</v>
      </c>
      <c r="B140" s="42" t="s">
        <v>3796</v>
      </c>
      <c r="C140" s="42" t="s">
        <v>3880</v>
      </c>
      <c r="D140" s="42" t="s">
        <v>2318</v>
      </c>
      <c r="E140" s="42" t="s">
        <v>2319</v>
      </c>
      <c r="F140" s="42" t="n">
        <v>2018</v>
      </c>
      <c r="G140" s="42" t="s">
        <v>268</v>
      </c>
      <c r="H140" s="42" t="s">
        <v>3349</v>
      </c>
      <c r="I140" s="42" t="s">
        <v>3743</v>
      </c>
      <c r="J140" s="42" t="s">
        <v>25</v>
      </c>
      <c r="K140" s="42" t="n">
        <v>21</v>
      </c>
      <c r="L140" s="42" t="n">
        <v>2.33</v>
      </c>
      <c r="M140" s="42" t="s">
        <v>3741</v>
      </c>
      <c r="N140" s="42"/>
      <c r="O140" s="41"/>
      <c r="P140" s="41"/>
      <c r="Q140" s="41"/>
    </row>
    <row r="141" customFormat="false" ht="39" hidden="false" customHeight="true" outlineLevel="0" collapsed="false">
      <c r="A141" s="42" t="n">
        <v>137</v>
      </c>
      <c r="B141" s="42" t="s">
        <v>3796</v>
      </c>
      <c r="C141" s="42" t="s">
        <v>3881</v>
      </c>
      <c r="D141" s="42" t="s">
        <v>129</v>
      </c>
      <c r="E141" s="42" t="s">
        <v>128</v>
      </c>
      <c r="F141" s="42" t="n">
        <v>2017</v>
      </c>
      <c r="G141" s="42" t="s">
        <v>130</v>
      </c>
      <c r="H141" s="42" t="s">
        <v>131</v>
      </c>
      <c r="I141" s="42" t="s">
        <v>3795</v>
      </c>
      <c r="J141" s="42" t="s">
        <v>25</v>
      </c>
      <c r="K141" s="42" t="n">
        <v>23</v>
      </c>
      <c r="L141" s="42" t="n">
        <v>2.3</v>
      </c>
      <c r="M141" s="42" t="s">
        <v>3741</v>
      </c>
      <c r="N141" s="42"/>
      <c r="O141" s="41"/>
      <c r="P141" s="41"/>
      <c r="Q141" s="41"/>
    </row>
    <row r="142" customFormat="false" ht="51.75" hidden="false" customHeight="true" outlineLevel="0" collapsed="false">
      <c r="A142" s="42" t="n">
        <v>138</v>
      </c>
      <c r="B142" s="42" t="s">
        <v>3796</v>
      </c>
      <c r="C142" s="42" t="s">
        <v>3882</v>
      </c>
      <c r="D142" s="42" t="s">
        <v>1392</v>
      </c>
      <c r="E142" s="42" t="s">
        <v>1393</v>
      </c>
      <c r="F142" s="42" t="n">
        <v>2023</v>
      </c>
      <c r="G142" s="42" t="s">
        <v>1394</v>
      </c>
      <c r="H142" s="42" t="s">
        <v>1395</v>
      </c>
      <c r="I142" s="42" t="s">
        <v>3743</v>
      </c>
      <c r="J142" s="42" t="s">
        <v>25</v>
      </c>
      <c r="K142" s="42" t="n">
        <v>9</v>
      </c>
      <c r="L142" s="42" t="n">
        <v>2.25</v>
      </c>
      <c r="M142" s="42" t="s">
        <v>3741</v>
      </c>
      <c r="N142" s="42"/>
      <c r="O142" s="41"/>
      <c r="P142" s="41"/>
      <c r="Q142" s="41"/>
    </row>
    <row r="143" customFormat="false" ht="51.75" hidden="false" customHeight="true" outlineLevel="0" collapsed="false">
      <c r="A143" s="42" t="n">
        <v>139</v>
      </c>
      <c r="B143" s="42" t="s">
        <v>3796</v>
      </c>
      <c r="C143" s="42" t="s">
        <v>3883</v>
      </c>
      <c r="D143" s="42" t="s">
        <v>2105</v>
      </c>
      <c r="E143" s="42" t="s">
        <v>2106</v>
      </c>
      <c r="F143" s="42" t="n">
        <v>2019</v>
      </c>
      <c r="G143" s="42" t="s">
        <v>81</v>
      </c>
      <c r="H143" s="42" t="s">
        <v>2107</v>
      </c>
      <c r="I143" s="42" t="s">
        <v>3743</v>
      </c>
      <c r="J143" s="42" t="s">
        <v>25</v>
      </c>
      <c r="K143" s="42" t="n">
        <v>18</v>
      </c>
      <c r="L143" s="42" t="n">
        <v>2.25</v>
      </c>
      <c r="M143" s="42" t="s">
        <v>3741</v>
      </c>
      <c r="N143" s="42"/>
      <c r="O143" s="41"/>
      <c r="P143" s="41"/>
      <c r="Q143" s="41"/>
    </row>
    <row r="144" customFormat="false" ht="51.75" hidden="false" customHeight="true" outlineLevel="0" collapsed="false">
      <c r="A144" s="42" t="n">
        <v>140</v>
      </c>
      <c r="B144" s="42" t="s">
        <v>3796</v>
      </c>
      <c r="C144" s="42" t="s">
        <v>3884</v>
      </c>
      <c r="D144" s="42" t="s">
        <v>1648</v>
      </c>
      <c r="E144" s="42" t="s">
        <v>1649</v>
      </c>
      <c r="F144" s="42" t="n">
        <v>2022</v>
      </c>
      <c r="G144" s="42" t="s">
        <v>208</v>
      </c>
      <c r="H144" s="42" t="s">
        <v>1650</v>
      </c>
      <c r="I144" s="42" t="s">
        <v>3743</v>
      </c>
      <c r="J144" s="42" t="s">
        <v>25</v>
      </c>
      <c r="K144" s="42" t="n">
        <v>11</v>
      </c>
      <c r="L144" s="42" t="n">
        <v>2.2</v>
      </c>
      <c r="M144" s="42" t="s">
        <v>3741</v>
      </c>
      <c r="N144" s="42"/>
      <c r="O144" s="41"/>
      <c r="P144" s="41"/>
      <c r="Q144" s="41"/>
    </row>
    <row r="145" customFormat="false" ht="39" hidden="false" customHeight="true" outlineLevel="0" collapsed="false">
      <c r="A145" s="42" t="n">
        <v>141</v>
      </c>
      <c r="B145" s="42" t="s">
        <v>3796</v>
      </c>
      <c r="C145" s="42" t="s">
        <v>3885</v>
      </c>
      <c r="D145" s="42" t="s">
        <v>1701</v>
      </c>
      <c r="E145" s="42" t="s">
        <v>1702</v>
      </c>
      <c r="F145" s="42" t="n">
        <v>2021</v>
      </c>
      <c r="G145" s="42" t="s">
        <v>32</v>
      </c>
      <c r="H145" s="42" t="s">
        <v>1703</v>
      </c>
      <c r="I145" s="42" t="s">
        <v>409</v>
      </c>
      <c r="J145" s="42" t="s">
        <v>25</v>
      </c>
      <c r="K145" s="42" t="n">
        <v>13</v>
      </c>
      <c r="L145" s="42" t="n">
        <v>2.17</v>
      </c>
      <c r="M145" s="42" t="s">
        <v>3741</v>
      </c>
      <c r="N145" s="42"/>
      <c r="O145" s="41"/>
      <c r="P145" s="41"/>
      <c r="Q145" s="41"/>
    </row>
    <row r="146" customFormat="false" ht="117" hidden="false" customHeight="true" outlineLevel="0" collapsed="false">
      <c r="A146" s="42" t="n">
        <v>142</v>
      </c>
      <c r="B146" s="42" t="s">
        <v>3796</v>
      </c>
      <c r="C146" s="42" t="s">
        <v>3886</v>
      </c>
      <c r="D146" s="42" t="s">
        <v>3218</v>
      </c>
      <c r="E146" s="42" t="s">
        <v>3219</v>
      </c>
      <c r="F146" s="42" t="n">
        <v>2020</v>
      </c>
      <c r="G146" s="42" t="s">
        <v>3128</v>
      </c>
      <c r="H146" s="42" t="s">
        <v>3220</v>
      </c>
      <c r="I146" s="42" t="s">
        <v>3740</v>
      </c>
      <c r="J146" s="42" t="s">
        <v>25</v>
      </c>
      <c r="K146" s="42" t="n">
        <v>15</v>
      </c>
      <c r="L146" s="42" t="n">
        <v>2.14</v>
      </c>
      <c r="M146" s="42" t="s">
        <v>3741</v>
      </c>
      <c r="N146" s="42"/>
      <c r="O146" s="41"/>
      <c r="P146" s="41"/>
      <c r="Q146" s="41"/>
    </row>
    <row r="147" customFormat="false" ht="78" hidden="false" customHeight="true" outlineLevel="0" collapsed="false">
      <c r="A147" s="42" t="n">
        <v>143</v>
      </c>
      <c r="B147" s="42" t="s">
        <v>3796</v>
      </c>
      <c r="C147" s="42" t="s">
        <v>3887</v>
      </c>
      <c r="D147" s="42" t="s">
        <v>224</v>
      </c>
      <c r="E147" s="42" t="s">
        <v>223</v>
      </c>
      <c r="F147" s="42" t="n">
        <v>2019</v>
      </c>
      <c r="G147" s="42" t="s">
        <v>54</v>
      </c>
      <c r="H147" s="42" t="s">
        <v>225</v>
      </c>
      <c r="I147" s="42" t="s">
        <v>3740</v>
      </c>
      <c r="J147" s="42" t="s">
        <v>25</v>
      </c>
      <c r="K147" s="42" t="n">
        <v>17</v>
      </c>
      <c r="L147" s="42" t="n">
        <v>2.12</v>
      </c>
      <c r="M147" s="42" t="s">
        <v>3741</v>
      </c>
      <c r="N147" s="42"/>
      <c r="O147" s="41"/>
      <c r="P147" s="41"/>
      <c r="Q147" s="41"/>
    </row>
    <row r="148" customFormat="false" ht="39" hidden="false" customHeight="true" outlineLevel="0" collapsed="false">
      <c r="A148" s="42" t="n">
        <v>144</v>
      </c>
      <c r="B148" s="42" t="s">
        <v>3796</v>
      </c>
      <c r="C148" s="42" t="s">
        <v>3888</v>
      </c>
      <c r="D148" s="42" t="s">
        <v>267</v>
      </c>
      <c r="E148" s="42" t="s">
        <v>266</v>
      </c>
      <c r="F148" s="42" t="n">
        <v>2017</v>
      </c>
      <c r="G148" s="42" t="s">
        <v>268</v>
      </c>
      <c r="H148" s="42" t="s">
        <v>269</v>
      </c>
      <c r="I148" s="42" t="s">
        <v>3743</v>
      </c>
      <c r="J148" s="42" t="s">
        <v>25</v>
      </c>
      <c r="K148" s="42" t="n">
        <v>21</v>
      </c>
      <c r="L148" s="42" t="n">
        <v>2.1</v>
      </c>
      <c r="M148" s="42" t="s">
        <v>3741</v>
      </c>
      <c r="N148" s="42"/>
      <c r="O148" s="41"/>
      <c r="P148" s="41"/>
      <c r="Q148" s="41"/>
    </row>
    <row r="149" customFormat="false" ht="39" hidden="false" customHeight="true" outlineLevel="0" collapsed="false">
      <c r="A149" s="42" t="n">
        <v>145</v>
      </c>
      <c r="B149" s="42" t="s">
        <v>3796</v>
      </c>
      <c r="C149" s="42" t="s">
        <v>3889</v>
      </c>
      <c r="D149" s="42" t="s">
        <v>731</v>
      </c>
      <c r="E149" s="42" t="s">
        <v>732</v>
      </c>
      <c r="F149" s="42" t="n">
        <v>2026</v>
      </c>
      <c r="G149" s="42" t="s">
        <v>538</v>
      </c>
      <c r="H149" s="42" t="s">
        <v>733</v>
      </c>
      <c r="I149" s="42" t="s">
        <v>3743</v>
      </c>
      <c r="J149" s="42" t="s">
        <v>25</v>
      </c>
      <c r="K149" s="42" t="n">
        <v>2</v>
      </c>
      <c r="L149" s="42" t="n">
        <v>2</v>
      </c>
      <c r="M149" s="42" t="s">
        <v>3741</v>
      </c>
      <c r="N149" s="42"/>
      <c r="O149" s="41"/>
      <c r="P149" s="41"/>
      <c r="Q149" s="41"/>
    </row>
    <row r="150" customFormat="false" ht="39" hidden="false" customHeight="true" outlineLevel="0" collapsed="false">
      <c r="A150" s="42" t="n">
        <v>146</v>
      </c>
      <c r="B150" s="42" t="s">
        <v>3796</v>
      </c>
      <c r="C150" s="42" t="s">
        <v>3890</v>
      </c>
      <c r="D150" s="42" t="s">
        <v>275</v>
      </c>
      <c r="E150" s="42" t="s">
        <v>274</v>
      </c>
      <c r="F150" s="42" t="n">
        <v>2025</v>
      </c>
      <c r="G150" s="42" t="s">
        <v>276</v>
      </c>
      <c r="H150" s="42" t="s">
        <v>277</v>
      </c>
      <c r="I150" s="42" t="s">
        <v>409</v>
      </c>
      <c r="J150" s="42" t="s">
        <v>25</v>
      </c>
      <c r="K150" s="42" t="n">
        <v>4</v>
      </c>
      <c r="L150" s="42" t="n">
        <v>2</v>
      </c>
      <c r="M150" s="42" t="s">
        <v>3741</v>
      </c>
      <c r="N150" s="42"/>
      <c r="O150" s="41"/>
      <c r="P150" s="41"/>
      <c r="Q150" s="41"/>
    </row>
    <row r="151" customFormat="false" ht="39" hidden="false" customHeight="true" outlineLevel="0" collapsed="false">
      <c r="A151" s="42" t="n">
        <v>147</v>
      </c>
      <c r="B151" s="42" t="s">
        <v>3796</v>
      </c>
      <c r="C151" s="42" t="s">
        <v>3891</v>
      </c>
      <c r="D151" s="42" t="s">
        <v>271</v>
      </c>
      <c r="E151" s="42" t="s">
        <v>270</v>
      </c>
      <c r="F151" s="42" t="n">
        <v>2025</v>
      </c>
      <c r="G151" s="42" t="s">
        <v>272</v>
      </c>
      <c r="H151" s="42" t="s">
        <v>273</v>
      </c>
      <c r="I151" s="42" t="s">
        <v>409</v>
      </c>
      <c r="J151" s="42" t="s">
        <v>25</v>
      </c>
      <c r="K151" s="42" t="n">
        <v>4</v>
      </c>
      <c r="L151" s="42" t="n">
        <v>2</v>
      </c>
      <c r="M151" s="42" t="s">
        <v>3741</v>
      </c>
      <c r="N151" s="42"/>
      <c r="O151" s="41"/>
      <c r="P151" s="41"/>
      <c r="Q151" s="41"/>
    </row>
    <row r="152" customFormat="false" ht="39" hidden="false" customHeight="true" outlineLevel="0" collapsed="false">
      <c r="A152" s="42" t="n">
        <v>148</v>
      </c>
      <c r="B152" s="42" t="s">
        <v>3796</v>
      </c>
      <c r="C152" s="42" t="s">
        <v>3892</v>
      </c>
      <c r="D152" s="42" t="s">
        <v>2966</v>
      </c>
      <c r="E152" s="42" t="s">
        <v>2967</v>
      </c>
      <c r="F152" s="42" t="n">
        <v>2025</v>
      </c>
      <c r="G152" s="42" t="s">
        <v>2869</v>
      </c>
      <c r="H152" s="42" t="s">
        <v>2968</v>
      </c>
      <c r="I152" s="42" t="s">
        <v>3740</v>
      </c>
      <c r="J152" s="42" t="s">
        <v>25</v>
      </c>
      <c r="K152" s="42" t="n">
        <v>4</v>
      </c>
      <c r="L152" s="42" t="n">
        <v>2</v>
      </c>
      <c r="M152" s="42" t="s">
        <v>3741</v>
      </c>
      <c r="N152" s="42"/>
      <c r="O152" s="41"/>
      <c r="P152" s="41"/>
      <c r="Q152" s="41"/>
    </row>
    <row r="153" customFormat="false" ht="39" hidden="false" customHeight="true" outlineLevel="0" collapsed="false">
      <c r="A153" s="42" t="n">
        <v>149</v>
      </c>
      <c r="B153" s="42" t="s">
        <v>3796</v>
      </c>
      <c r="C153" s="42" t="s">
        <v>3893</v>
      </c>
      <c r="D153" s="42" t="s">
        <v>1331</v>
      </c>
      <c r="E153" s="42" t="s">
        <v>1332</v>
      </c>
      <c r="F153" s="42" t="n">
        <v>2023</v>
      </c>
      <c r="G153" s="42" t="s">
        <v>1333</v>
      </c>
      <c r="H153" s="42" t="s">
        <v>1334</v>
      </c>
      <c r="I153" s="42" t="s">
        <v>3743</v>
      </c>
      <c r="J153" s="42" t="s">
        <v>25</v>
      </c>
      <c r="K153" s="42" t="n">
        <v>8</v>
      </c>
      <c r="L153" s="42" t="n">
        <v>2</v>
      </c>
      <c r="M153" s="42" t="s">
        <v>3741</v>
      </c>
      <c r="N153" s="42"/>
      <c r="O153" s="41"/>
      <c r="P153" s="41"/>
      <c r="Q153" s="41"/>
    </row>
    <row r="154" customFormat="false" ht="39" hidden="false" customHeight="true" outlineLevel="0" collapsed="false">
      <c r="A154" s="42" t="n">
        <v>150</v>
      </c>
      <c r="B154" s="42" t="s">
        <v>3796</v>
      </c>
      <c r="C154" s="42" t="s">
        <v>3894</v>
      </c>
      <c r="D154" s="42" t="s">
        <v>3135</v>
      </c>
      <c r="E154" s="42" t="s">
        <v>3136</v>
      </c>
      <c r="F154" s="42" t="n">
        <v>2021</v>
      </c>
      <c r="G154" s="42" t="s">
        <v>3015</v>
      </c>
      <c r="H154" s="42" t="s">
        <v>3137</v>
      </c>
      <c r="I154" s="42" t="s">
        <v>3740</v>
      </c>
      <c r="J154" s="42" t="s">
        <v>25</v>
      </c>
      <c r="K154" s="42" t="n">
        <v>12</v>
      </c>
      <c r="L154" s="42" t="n">
        <v>2</v>
      </c>
      <c r="M154" s="42" t="s">
        <v>3741</v>
      </c>
      <c r="N154" s="42"/>
      <c r="O154" s="41"/>
      <c r="P154" s="41"/>
      <c r="Q154" s="41"/>
    </row>
    <row r="155" customFormat="false" ht="51.75" hidden="false" customHeight="true" outlineLevel="0" collapsed="false">
      <c r="A155" s="42" t="n">
        <v>151</v>
      </c>
      <c r="B155" s="42" t="s">
        <v>3796</v>
      </c>
      <c r="C155" s="42" t="s">
        <v>3895</v>
      </c>
      <c r="D155" s="42" t="s">
        <v>1934</v>
      </c>
      <c r="E155" s="42" t="s">
        <v>1935</v>
      </c>
      <c r="F155" s="42" t="n">
        <v>2020</v>
      </c>
      <c r="G155" s="42" t="s">
        <v>32</v>
      </c>
      <c r="H155" s="42" t="s">
        <v>1936</v>
      </c>
      <c r="I155" s="42" t="s">
        <v>3743</v>
      </c>
      <c r="J155" s="42" t="s">
        <v>25</v>
      </c>
      <c r="K155" s="42" t="n">
        <v>14</v>
      </c>
      <c r="L155" s="42" t="n">
        <v>2</v>
      </c>
      <c r="M155" s="42" t="s">
        <v>3741</v>
      </c>
      <c r="N155" s="42"/>
      <c r="O155" s="41"/>
      <c r="P155" s="41"/>
      <c r="Q155" s="41"/>
    </row>
    <row r="156" customFormat="false" ht="64.5" hidden="false" customHeight="true" outlineLevel="0" collapsed="false">
      <c r="A156" s="42" t="n">
        <v>152</v>
      </c>
      <c r="B156" s="42" t="s">
        <v>3796</v>
      </c>
      <c r="C156" s="42" t="s">
        <v>3896</v>
      </c>
      <c r="D156" s="42" t="s">
        <v>2035</v>
      </c>
      <c r="E156" s="42" t="s">
        <v>2036</v>
      </c>
      <c r="F156" s="42" t="n">
        <v>2019</v>
      </c>
      <c r="G156" s="42" t="s">
        <v>107</v>
      </c>
      <c r="H156" s="42" t="s">
        <v>2037</v>
      </c>
      <c r="I156" s="42" t="s">
        <v>409</v>
      </c>
      <c r="J156" s="42" t="s">
        <v>25</v>
      </c>
      <c r="K156" s="42" t="n">
        <v>16</v>
      </c>
      <c r="L156" s="42" t="n">
        <v>2</v>
      </c>
      <c r="M156" s="42" t="s">
        <v>3741</v>
      </c>
      <c r="N156" s="42"/>
      <c r="O156" s="41"/>
      <c r="P156" s="41"/>
      <c r="Q156" s="41"/>
    </row>
    <row r="157" customFormat="false" ht="51.75" hidden="false" customHeight="true" outlineLevel="0" collapsed="false">
      <c r="A157" s="42" t="n">
        <v>153</v>
      </c>
      <c r="B157" s="42" t="s">
        <v>3796</v>
      </c>
      <c r="C157" s="42" t="s">
        <v>3897</v>
      </c>
      <c r="D157" s="42" t="s">
        <v>3356</v>
      </c>
      <c r="E157" s="42" t="s">
        <v>3357</v>
      </c>
      <c r="F157" s="42" t="n">
        <v>2018</v>
      </c>
      <c r="G157" s="42" t="s">
        <v>3150</v>
      </c>
      <c r="H157" s="42" t="s">
        <v>3358</v>
      </c>
      <c r="I157" s="42" t="s">
        <v>3740</v>
      </c>
      <c r="J157" s="42" t="s">
        <v>25</v>
      </c>
      <c r="K157" s="42" t="n">
        <v>18</v>
      </c>
      <c r="L157" s="42" t="n">
        <v>2</v>
      </c>
      <c r="M157" s="42" t="s">
        <v>3741</v>
      </c>
      <c r="N157" s="42"/>
      <c r="O157" s="41"/>
      <c r="P157" s="41"/>
      <c r="Q157" s="41"/>
    </row>
    <row r="158" customFormat="false" ht="39" hidden="false" customHeight="true" outlineLevel="0" collapsed="false">
      <c r="A158" s="42" t="n">
        <v>154</v>
      </c>
      <c r="B158" s="42" t="s">
        <v>3796</v>
      </c>
      <c r="C158" s="42" t="s">
        <v>3898</v>
      </c>
      <c r="D158" s="42" t="s">
        <v>1869</v>
      </c>
      <c r="E158" s="42" t="s">
        <v>1870</v>
      </c>
      <c r="F158" s="42" t="n">
        <v>2020</v>
      </c>
      <c r="G158" s="42" t="s">
        <v>268</v>
      </c>
      <c r="H158" s="42" t="s">
        <v>1871</v>
      </c>
      <c r="I158" s="42" t="s">
        <v>3743</v>
      </c>
      <c r="J158" s="42" t="s">
        <v>25</v>
      </c>
      <c r="K158" s="42" t="n">
        <v>13</v>
      </c>
      <c r="L158" s="42" t="n">
        <v>1.86</v>
      </c>
      <c r="M158" s="42" t="s">
        <v>3741</v>
      </c>
      <c r="N158" s="42"/>
      <c r="O158" s="41"/>
      <c r="P158" s="41"/>
      <c r="Q158" s="41"/>
    </row>
    <row r="159" customFormat="false" ht="25.5" hidden="false" customHeight="true" outlineLevel="0" collapsed="false">
      <c r="A159" s="42" t="n">
        <v>155</v>
      </c>
      <c r="B159" s="42" t="s">
        <v>3796</v>
      </c>
      <c r="C159" s="42" t="s">
        <v>3899</v>
      </c>
      <c r="D159" s="42" t="s">
        <v>1961</v>
      </c>
      <c r="E159" s="42" t="s">
        <v>1962</v>
      </c>
      <c r="F159" s="42" t="n">
        <v>2020</v>
      </c>
      <c r="G159" s="42" t="s">
        <v>66</v>
      </c>
      <c r="H159" s="42" t="s">
        <v>1963</v>
      </c>
      <c r="I159" s="42" t="s">
        <v>3743</v>
      </c>
      <c r="J159" s="42" t="s">
        <v>25</v>
      </c>
      <c r="K159" s="42" t="n">
        <v>13</v>
      </c>
      <c r="L159" s="42" t="n">
        <v>1.86</v>
      </c>
      <c r="M159" s="42" t="s">
        <v>3741</v>
      </c>
      <c r="N159" s="42"/>
      <c r="O159" s="41"/>
      <c r="P159" s="41"/>
      <c r="Q159" s="41"/>
    </row>
    <row r="160" customFormat="false" ht="51.75" hidden="false" customHeight="true" outlineLevel="0" collapsed="false">
      <c r="A160" s="42" t="n">
        <v>156</v>
      </c>
      <c r="B160" s="42" t="s">
        <v>3796</v>
      </c>
      <c r="C160" s="42" t="s">
        <v>3900</v>
      </c>
      <c r="D160" s="42" t="s">
        <v>1706</v>
      </c>
      <c r="E160" s="42" t="s">
        <v>1707</v>
      </c>
      <c r="F160" s="42" t="n">
        <v>2021</v>
      </c>
      <c r="G160" s="42" t="s">
        <v>1708</v>
      </c>
      <c r="H160" s="42" t="s">
        <v>1709</v>
      </c>
      <c r="I160" s="42" t="s">
        <v>409</v>
      </c>
      <c r="J160" s="42" t="s">
        <v>25</v>
      </c>
      <c r="K160" s="42" t="n">
        <v>11</v>
      </c>
      <c r="L160" s="42" t="n">
        <v>1.83</v>
      </c>
      <c r="M160" s="42" t="s">
        <v>3741</v>
      </c>
      <c r="N160" s="42"/>
      <c r="O160" s="41"/>
      <c r="P160" s="41"/>
      <c r="Q160" s="41"/>
    </row>
    <row r="161" customFormat="false" ht="51.75" hidden="false" customHeight="true" outlineLevel="0" collapsed="false">
      <c r="A161" s="42" t="n">
        <v>157</v>
      </c>
      <c r="B161" s="42" t="s">
        <v>3796</v>
      </c>
      <c r="C161" s="42" t="s">
        <v>3901</v>
      </c>
      <c r="D161" s="42" t="s">
        <v>283</v>
      </c>
      <c r="E161" s="42" t="s">
        <v>282</v>
      </c>
      <c r="F161" s="42" t="n">
        <v>2022</v>
      </c>
      <c r="G161" s="42" t="s">
        <v>284</v>
      </c>
      <c r="H161" s="42" t="s">
        <v>285</v>
      </c>
      <c r="I161" s="42" t="s">
        <v>3740</v>
      </c>
      <c r="J161" s="42" t="s">
        <v>25</v>
      </c>
      <c r="K161" s="42" t="n">
        <v>9</v>
      </c>
      <c r="L161" s="42" t="n">
        <v>1.8</v>
      </c>
      <c r="M161" s="42" t="s">
        <v>3741</v>
      </c>
      <c r="N161" s="42"/>
      <c r="O161" s="41"/>
      <c r="P161" s="41"/>
      <c r="Q161" s="41"/>
    </row>
    <row r="162" customFormat="false" ht="51.75" hidden="false" customHeight="true" outlineLevel="0" collapsed="false">
      <c r="A162" s="42" t="n">
        <v>158</v>
      </c>
      <c r="B162" s="42" t="s">
        <v>3796</v>
      </c>
      <c r="C162" s="42" t="s">
        <v>3902</v>
      </c>
      <c r="D162" s="42" t="s">
        <v>279</v>
      </c>
      <c r="E162" s="42" t="s">
        <v>278</v>
      </c>
      <c r="F162" s="42" t="n">
        <v>2017</v>
      </c>
      <c r="G162" s="42" t="s">
        <v>280</v>
      </c>
      <c r="H162" s="42" t="s">
        <v>281</v>
      </c>
      <c r="I162" s="42" t="s">
        <v>3740</v>
      </c>
      <c r="J162" s="42" t="s">
        <v>25</v>
      </c>
      <c r="K162" s="42" t="n">
        <v>18</v>
      </c>
      <c r="L162" s="42" t="n">
        <v>1.8</v>
      </c>
      <c r="M162" s="42" t="s">
        <v>3741</v>
      </c>
      <c r="N162" s="42"/>
      <c r="O162" s="41"/>
      <c r="P162" s="41"/>
      <c r="Q162" s="41"/>
    </row>
    <row r="163" customFormat="false" ht="25.5" hidden="false" customHeight="true" outlineLevel="0" collapsed="false">
      <c r="A163" s="42" t="n">
        <v>159</v>
      </c>
      <c r="B163" s="42" t="s">
        <v>3796</v>
      </c>
      <c r="C163" s="42" t="s">
        <v>3903</v>
      </c>
      <c r="D163" s="42" t="s">
        <v>90</v>
      </c>
      <c r="E163" s="42" t="s">
        <v>89</v>
      </c>
      <c r="F163" s="42" t="n">
        <v>2023</v>
      </c>
      <c r="G163" s="42" t="s">
        <v>91</v>
      </c>
      <c r="H163" s="42" t="s">
        <v>92</v>
      </c>
      <c r="I163" s="42" t="s">
        <v>3740</v>
      </c>
      <c r="J163" s="42" t="s">
        <v>25</v>
      </c>
      <c r="K163" s="42" t="n">
        <v>7</v>
      </c>
      <c r="L163" s="42" t="n">
        <v>1.75</v>
      </c>
      <c r="M163" s="42" t="s">
        <v>3741</v>
      </c>
      <c r="N163" s="42"/>
      <c r="O163" s="41"/>
      <c r="P163" s="41"/>
      <c r="Q163" s="41"/>
    </row>
    <row r="164" customFormat="false" ht="51.75" hidden="false" customHeight="true" outlineLevel="0" collapsed="false">
      <c r="A164" s="42" t="n">
        <v>160</v>
      </c>
      <c r="B164" s="42" t="s">
        <v>3796</v>
      </c>
      <c r="C164" s="42" t="s">
        <v>3904</v>
      </c>
      <c r="D164" s="42" t="s">
        <v>3595</v>
      </c>
      <c r="E164" s="42" t="s">
        <v>3596</v>
      </c>
      <c r="F164" s="42" t="n">
        <v>2019</v>
      </c>
      <c r="G164" s="42" t="s">
        <v>32</v>
      </c>
      <c r="H164" s="42" t="s">
        <v>3597</v>
      </c>
      <c r="I164" s="42" t="s">
        <v>3795</v>
      </c>
      <c r="J164" s="42" t="s">
        <v>25</v>
      </c>
      <c r="K164" s="42" t="n">
        <v>14</v>
      </c>
      <c r="L164" s="42" t="n">
        <v>1.75</v>
      </c>
      <c r="M164" s="42" t="s">
        <v>3741</v>
      </c>
      <c r="N164" s="42"/>
      <c r="O164" s="41"/>
      <c r="P164" s="41"/>
      <c r="Q164" s="41"/>
    </row>
    <row r="165" customFormat="false" ht="39" hidden="false" customHeight="true" outlineLevel="0" collapsed="false">
      <c r="A165" s="42" t="n">
        <v>161</v>
      </c>
      <c r="B165" s="42" t="s">
        <v>3796</v>
      </c>
      <c r="C165" s="42" t="s">
        <v>3905</v>
      </c>
      <c r="D165" s="42" t="s">
        <v>39</v>
      </c>
      <c r="E165" s="42" t="s">
        <v>3413</v>
      </c>
      <c r="F165" s="42" t="n">
        <v>2016</v>
      </c>
      <c r="G165" s="42" t="s">
        <v>3414</v>
      </c>
      <c r="H165" s="42" t="s">
        <v>3415</v>
      </c>
      <c r="I165" s="42" t="s">
        <v>3740</v>
      </c>
      <c r="J165" s="42" t="s">
        <v>25</v>
      </c>
      <c r="K165" s="42" t="n">
        <v>19</v>
      </c>
      <c r="L165" s="42" t="n">
        <v>1.73</v>
      </c>
      <c r="M165" s="42" t="s">
        <v>3741</v>
      </c>
      <c r="N165" s="42"/>
      <c r="O165" s="41"/>
      <c r="P165" s="41"/>
      <c r="Q165" s="41"/>
    </row>
    <row r="166" customFormat="false" ht="51.75" hidden="false" customHeight="true" outlineLevel="0" collapsed="false">
      <c r="A166" s="42" t="n">
        <v>162</v>
      </c>
      <c r="B166" s="42" t="s">
        <v>3796</v>
      </c>
      <c r="C166" s="42" t="s">
        <v>3906</v>
      </c>
      <c r="D166" s="42" t="s">
        <v>2659</v>
      </c>
      <c r="E166" s="42" t="s">
        <v>2660</v>
      </c>
      <c r="F166" s="42" t="n">
        <v>2016</v>
      </c>
      <c r="G166" s="42" t="s">
        <v>77</v>
      </c>
      <c r="H166" s="42" t="s">
        <v>2661</v>
      </c>
      <c r="I166" s="42" t="s">
        <v>3743</v>
      </c>
      <c r="J166" s="42" t="s">
        <v>25</v>
      </c>
      <c r="K166" s="42" t="n">
        <v>19</v>
      </c>
      <c r="L166" s="42" t="n">
        <v>1.73</v>
      </c>
      <c r="M166" s="42" t="s">
        <v>3741</v>
      </c>
      <c r="N166" s="42"/>
      <c r="O166" s="41"/>
      <c r="P166" s="41"/>
      <c r="Q166" s="41"/>
    </row>
    <row r="167" customFormat="false" ht="25.5" hidden="false" customHeight="true" outlineLevel="0" collapsed="false">
      <c r="A167" s="42" t="n">
        <v>163</v>
      </c>
      <c r="B167" s="42" t="s">
        <v>3796</v>
      </c>
      <c r="C167" s="42" t="s">
        <v>3907</v>
      </c>
      <c r="D167" s="42" t="s">
        <v>1977</v>
      </c>
      <c r="E167" s="42" t="s">
        <v>1978</v>
      </c>
      <c r="F167" s="42" t="n">
        <v>2020</v>
      </c>
      <c r="G167" s="42" t="s">
        <v>1859</v>
      </c>
      <c r="H167" s="42"/>
      <c r="I167" s="42" t="s">
        <v>409</v>
      </c>
      <c r="J167" s="42" t="s">
        <v>25</v>
      </c>
      <c r="K167" s="42" t="n">
        <v>12</v>
      </c>
      <c r="L167" s="42" t="n">
        <v>1.71</v>
      </c>
      <c r="M167" s="42" t="s">
        <v>3741</v>
      </c>
      <c r="N167" s="42"/>
      <c r="O167" s="41"/>
      <c r="P167" s="41"/>
      <c r="Q167" s="41"/>
    </row>
    <row r="168" customFormat="false" ht="39" hidden="false" customHeight="true" outlineLevel="0" collapsed="false">
      <c r="A168" s="42" t="n">
        <v>164</v>
      </c>
      <c r="B168" s="42" t="s">
        <v>3796</v>
      </c>
      <c r="C168" s="42" t="s">
        <v>3908</v>
      </c>
      <c r="D168" s="42" t="s">
        <v>941</v>
      </c>
      <c r="E168" s="42" t="s">
        <v>942</v>
      </c>
      <c r="F168" s="42" t="n">
        <v>2024</v>
      </c>
      <c r="G168" s="42" t="s">
        <v>943</v>
      </c>
      <c r="H168" s="42" t="s">
        <v>944</v>
      </c>
      <c r="I168" s="42" t="s">
        <v>3743</v>
      </c>
      <c r="J168" s="42" t="s">
        <v>25</v>
      </c>
      <c r="K168" s="42" t="n">
        <v>5</v>
      </c>
      <c r="L168" s="42" t="n">
        <v>1.67</v>
      </c>
      <c r="M168" s="42" t="s">
        <v>3741</v>
      </c>
      <c r="N168" s="42"/>
      <c r="O168" s="41"/>
      <c r="P168" s="41"/>
      <c r="Q168" s="41"/>
    </row>
    <row r="169" customFormat="false" ht="51.75" hidden="false" customHeight="true" outlineLevel="0" collapsed="false">
      <c r="A169" s="42" t="n">
        <v>165</v>
      </c>
      <c r="B169" s="42" t="s">
        <v>3796</v>
      </c>
      <c r="C169" s="42" t="s">
        <v>3909</v>
      </c>
      <c r="D169" s="42" t="s">
        <v>3019</v>
      </c>
      <c r="E169" s="42" t="s">
        <v>3020</v>
      </c>
      <c r="F169" s="42" t="n">
        <v>2024</v>
      </c>
      <c r="G169" s="42" t="s">
        <v>284</v>
      </c>
      <c r="H169" s="42" t="s">
        <v>3021</v>
      </c>
      <c r="I169" s="42" t="s">
        <v>3740</v>
      </c>
      <c r="J169" s="42" t="s">
        <v>25</v>
      </c>
      <c r="K169" s="42" t="n">
        <v>5</v>
      </c>
      <c r="L169" s="42" t="n">
        <v>1.67</v>
      </c>
      <c r="M169" s="42" t="s">
        <v>3741</v>
      </c>
      <c r="N169" s="42"/>
      <c r="O169" s="41"/>
      <c r="P169" s="41"/>
      <c r="Q169" s="41"/>
    </row>
    <row r="170" customFormat="false" ht="39" hidden="false" customHeight="true" outlineLevel="0" collapsed="false">
      <c r="A170" s="42" t="n">
        <v>166</v>
      </c>
      <c r="B170" s="42" t="s">
        <v>3796</v>
      </c>
      <c r="C170" s="42" t="s">
        <v>3910</v>
      </c>
      <c r="D170" s="42" t="s">
        <v>1151</v>
      </c>
      <c r="E170" s="42" t="s">
        <v>1152</v>
      </c>
      <c r="F170" s="42" t="n">
        <v>2024</v>
      </c>
      <c r="G170" s="42" t="s">
        <v>717</v>
      </c>
      <c r="H170" s="42" t="s">
        <v>1153</v>
      </c>
      <c r="I170" s="42" t="s">
        <v>3743</v>
      </c>
      <c r="J170" s="42" t="s">
        <v>25</v>
      </c>
      <c r="K170" s="42" t="n">
        <v>5</v>
      </c>
      <c r="L170" s="42" t="n">
        <v>1.67</v>
      </c>
      <c r="M170" s="42" t="s">
        <v>3741</v>
      </c>
      <c r="N170" s="42"/>
      <c r="O170" s="41"/>
      <c r="P170" s="41"/>
      <c r="Q170" s="41"/>
    </row>
    <row r="171" customFormat="false" ht="64.5" hidden="false" customHeight="true" outlineLevel="0" collapsed="false">
      <c r="A171" s="42" t="n">
        <v>167</v>
      </c>
      <c r="B171" s="42" t="s">
        <v>3796</v>
      </c>
      <c r="C171" s="42" t="s">
        <v>3911</v>
      </c>
      <c r="D171" s="42" t="s">
        <v>3122</v>
      </c>
      <c r="E171" s="42" t="s">
        <v>3123</v>
      </c>
      <c r="F171" s="42" t="n">
        <v>2021</v>
      </c>
      <c r="G171" s="42" t="s">
        <v>188</v>
      </c>
      <c r="H171" s="42" t="s">
        <v>3124</v>
      </c>
      <c r="I171" s="42" t="s">
        <v>3740</v>
      </c>
      <c r="J171" s="42" t="s">
        <v>25</v>
      </c>
      <c r="K171" s="42" t="n">
        <v>10</v>
      </c>
      <c r="L171" s="42" t="n">
        <v>1.67</v>
      </c>
      <c r="M171" s="42" t="s">
        <v>3741</v>
      </c>
      <c r="N171" s="42"/>
      <c r="O171" s="41"/>
      <c r="P171" s="41"/>
      <c r="Q171" s="41"/>
    </row>
    <row r="172" customFormat="false" ht="51.75" hidden="false" customHeight="true" outlineLevel="0" collapsed="false">
      <c r="A172" s="42" t="n">
        <v>168</v>
      </c>
      <c r="B172" s="42" t="s">
        <v>3796</v>
      </c>
      <c r="C172" s="42" t="s">
        <v>3912</v>
      </c>
      <c r="D172" s="42" t="s">
        <v>309</v>
      </c>
      <c r="E172" s="42" t="s">
        <v>308</v>
      </c>
      <c r="F172" s="42" t="n">
        <v>2018</v>
      </c>
      <c r="G172" s="42" t="s">
        <v>306</v>
      </c>
      <c r="H172" s="42" t="s">
        <v>310</v>
      </c>
      <c r="I172" s="42" t="s">
        <v>3740</v>
      </c>
      <c r="J172" s="42" t="s">
        <v>25</v>
      </c>
      <c r="K172" s="42" t="n">
        <v>15</v>
      </c>
      <c r="L172" s="42" t="n">
        <v>1.67</v>
      </c>
      <c r="M172" s="42" t="s">
        <v>3741</v>
      </c>
      <c r="N172" s="42"/>
      <c r="O172" s="41"/>
      <c r="P172" s="41"/>
      <c r="Q172" s="41"/>
    </row>
    <row r="173" customFormat="false" ht="51.75" hidden="false" customHeight="true" outlineLevel="0" collapsed="false">
      <c r="A173" s="42" t="n">
        <v>169</v>
      </c>
      <c r="B173" s="42" t="s">
        <v>3796</v>
      </c>
      <c r="C173" s="42" t="s">
        <v>3913</v>
      </c>
      <c r="D173" s="42" t="s">
        <v>2572</v>
      </c>
      <c r="E173" s="42" t="s">
        <v>2573</v>
      </c>
      <c r="F173" s="42" t="n">
        <v>2016</v>
      </c>
      <c r="G173" s="42" t="s">
        <v>1945</v>
      </c>
      <c r="H173" s="42" t="s">
        <v>2574</v>
      </c>
      <c r="I173" s="42" t="s">
        <v>3743</v>
      </c>
      <c r="J173" s="42" t="s">
        <v>25</v>
      </c>
      <c r="K173" s="42" t="n">
        <v>18</v>
      </c>
      <c r="L173" s="42" t="n">
        <v>1.64</v>
      </c>
      <c r="M173" s="42" t="s">
        <v>3741</v>
      </c>
      <c r="N173" s="42"/>
      <c r="O173" s="41"/>
      <c r="P173" s="41"/>
      <c r="Q173" s="41"/>
    </row>
    <row r="174" customFormat="false" ht="39" hidden="false" customHeight="true" outlineLevel="0" collapsed="false">
      <c r="A174" s="42" t="n">
        <v>170</v>
      </c>
      <c r="B174" s="42" t="s">
        <v>3796</v>
      </c>
      <c r="C174" s="42" t="s">
        <v>3914</v>
      </c>
      <c r="D174" s="42" t="s">
        <v>227</v>
      </c>
      <c r="E174" s="42" t="s">
        <v>226</v>
      </c>
      <c r="F174" s="42" t="n">
        <v>2022</v>
      </c>
      <c r="G174" s="42" t="s">
        <v>81</v>
      </c>
      <c r="H174" s="42" t="s">
        <v>228</v>
      </c>
      <c r="I174" s="42" t="s">
        <v>3743</v>
      </c>
      <c r="J174" s="42" t="s">
        <v>25</v>
      </c>
      <c r="K174" s="42" t="n">
        <v>8</v>
      </c>
      <c r="L174" s="42" t="n">
        <v>1.6</v>
      </c>
      <c r="M174" s="42" t="s">
        <v>3741</v>
      </c>
      <c r="N174" s="42"/>
      <c r="O174" s="41"/>
      <c r="P174" s="41"/>
      <c r="Q174" s="41"/>
    </row>
    <row r="175" customFormat="false" ht="39" hidden="false" customHeight="true" outlineLevel="0" collapsed="false">
      <c r="A175" s="42" t="n">
        <v>171</v>
      </c>
      <c r="B175" s="42" t="s">
        <v>3796</v>
      </c>
      <c r="C175" s="42" t="s">
        <v>3915</v>
      </c>
      <c r="D175" s="42" t="s">
        <v>1547</v>
      </c>
      <c r="E175" s="42" t="s">
        <v>1548</v>
      </c>
      <c r="F175" s="42" t="n">
        <v>2022</v>
      </c>
      <c r="G175" s="42" t="s">
        <v>166</v>
      </c>
      <c r="H175" s="42" t="s">
        <v>1549</v>
      </c>
      <c r="I175" s="42" t="s">
        <v>3743</v>
      </c>
      <c r="J175" s="42" t="s">
        <v>25</v>
      </c>
      <c r="K175" s="42" t="n">
        <v>8</v>
      </c>
      <c r="L175" s="42" t="n">
        <v>1.6</v>
      </c>
      <c r="M175" s="42" t="s">
        <v>3741</v>
      </c>
      <c r="N175" s="42"/>
      <c r="O175" s="41"/>
      <c r="P175" s="41"/>
      <c r="Q175" s="41"/>
    </row>
    <row r="176" customFormat="false" ht="39" hidden="false" customHeight="true" outlineLevel="0" collapsed="false">
      <c r="A176" s="42" t="n">
        <v>172</v>
      </c>
      <c r="B176" s="42" t="s">
        <v>3796</v>
      </c>
      <c r="C176" s="42" t="s">
        <v>3916</v>
      </c>
      <c r="D176" s="42" t="s">
        <v>230</v>
      </c>
      <c r="E176" s="42" t="s">
        <v>229</v>
      </c>
      <c r="F176" s="42" t="n">
        <v>2022</v>
      </c>
      <c r="G176" s="42" t="s">
        <v>231</v>
      </c>
      <c r="H176" s="42" t="s">
        <v>232</v>
      </c>
      <c r="I176" s="42" t="s">
        <v>409</v>
      </c>
      <c r="J176" s="42" t="s">
        <v>25</v>
      </c>
      <c r="K176" s="42" t="n">
        <v>8</v>
      </c>
      <c r="L176" s="42" t="n">
        <v>1.6</v>
      </c>
      <c r="M176" s="42" t="s">
        <v>3741</v>
      </c>
      <c r="N176" s="42"/>
      <c r="O176" s="41"/>
      <c r="P176" s="41"/>
      <c r="Q176" s="41"/>
    </row>
    <row r="177" customFormat="false" ht="39" hidden="false" customHeight="true" outlineLevel="0" collapsed="false">
      <c r="A177" s="42" t="n">
        <v>173</v>
      </c>
      <c r="B177" s="42" t="s">
        <v>3796</v>
      </c>
      <c r="C177" s="42" t="s">
        <v>3917</v>
      </c>
      <c r="D177" s="42" t="s">
        <v>1886</v>
      </c>
      <c r="E177" s="42" t="s">
        <v>1887</v>
      </c>
      <c r="F177" s="42" t="n">
        <v>2020</v>
      </c>
      <c r="G177" s="42" t="s">
        <v>1859</v>
      </c>
      <c r="H177" s="42"/>
      <c r="I177" s="42" t="s">
        <v>409</v>
      </c>
      <c r="J177" s="42" t="s">
        <v>25</v>
      </c>
      <c r="K177" s="42" t="n">
        <v>11</v>
      </c>
      <c r="L177" s="42" t="n">
        <v>1.57</v>
      </c>
      <c r="M177" s="42" t="s">
        <v>3741</v>
      </c>
      <c r="N177" s="42"/>
      <c r="O177" s="41"/>
      <c r="P177" s="41"/>
      <c r="Q177" s="41"/>
    </row>
    <row r="178" customFormat="false" ht="39" hidden="false" customHeight="true" outlineLevel="0" collapsed="false">
      <c r="A178" s="42" t="n">
        <v>174</v>
      </c>
      <c r="B178" s="42" t="s">
        <v>3796</v>
      </c>
      <c r="C178" s="42" t="s">
        <v>3918</v>
      </c>
      <c r="D178" s="42" t="s">
        <v>3683</v>
      </c>
      <c r="E178" s="42" t="s">
        <v>3684</v>
      </c>
      <c r="F178" s="42" t="n">
        <v>2020</v>
      </c>
      <c r="G178" s="42" t="s">
        <v>3685</v>
      </c>
      <c r="H178" s="42" t="s">
        <v>3686</v>
      </c>
      <c r="I178" s="42" t="s">
        <v>3795</v>
      </c>
      <c r="J178" s="42" t="s">
        <v>25</v>
      </c>
      <c r="K178" s="42" t="n">
        <v>11</v>
      </c>
      <c r="L178" s="42" t="n">
        <v>1.57</v>
      </c>
      <c r="M178" s="42" t="s">
        <v>3741</v>
      </c>
      <c r="N178" s="42"/>
      <c r="O178" s="41"/>
      <c r="P178" s="41"/>
      <c r="Q178" s="41"/>
    </row>
    <row r="179" customFormat="false" ht="39" hidden="false" customHeight="true" outlineLevel="0" collapsed="false">
      <c r="A179" s="42" t="n">
        <v>175</v>
      </c>
      <c r="B179" s="42" t="s">
        <v>3796</v>
      </c>
      <c r="C179" s="42" t="s">
        <v>3919</v>
      </c>
      <c r="D179" s="42" t="s">
        <v>3408</v>
      </c>
      <c r="E179" s="42" t="s">
        <v>3409</v>
      </c>
      <c r="F179" s="42" t="n">
        <v>2016</v>
      </c>
      <c r="G179" s="42" t="s">
        <v>70</v>
      </c>
      <c r="H179" s="42" t="s">
        <v>3410</v>
      </c>
      <c r="I179" s="42" t="s">
        <v>3740</v>
      </c>
      <c r="J179" s="42" t="s">
        <v>25</v>
      </c>
      <c r="K179" s="42" t="n">
        <v>17</v>
      </c>
      <c r="L179" s="42" t="n">
        <v>1.55</v>
      </c>
      <c r="M179" s="42" t="s">
        <v>3741</v>
      </c>
      <c r="N179" s="42"/>
      <c r="O179" s="41"/>
      <c r="P179" s="41"/>
      <c r="Q179" s="41"/>
    </row>
    <row r="180" customFormat="false" ht="51.75" hidden="false" customHeight="true" outlineLevel="0" collapsed="false">
      <c r="A180" s="42" t="n">
        <v>176</v>
      </c>
      <c r="B180" s="42" t="s">
        <v>3796</v>
      </c>
      <c r="C180" s="42" t="s">
        <v>3920</v>
      </c>
      <c r="D180" s="42" t="s">
        <v>772</v>
      </c>
      <c r="E180" s="42" t="s">
        <v>773</v>
      </c>
      <c r="F180" s="42" t="n">
        <v>2025</v>
      </c>
      <c r="G180" s="42" t="s">
        <v>774</v>
      </c>
      <c r="H180" s="42" t="s">
        <v>775</v>
      </c>
      <c r="I180" s="42" t="s">
        <v>3743</v>
      </c>
      <c r="J180" s="42" t="s">
        <v>25</v>
      </c>
      <c r="K180" s="42" t="n">
        <v>3</v>
      </c>
      <c r="L180" s="42" t="n">
        <v>1.5</v>
      </c>
      <c r="M180" s="42" t="s">
        <v>3741</v>
      </c>
      <c r="N180" s="42"/>
      <c r="O180" s="41"/>
      <c r="P180" s="41"/>
      <c r="Q180" s="41"/>
    </row>
    <row r="181" customFormat="false" ht="39" hidden="false" customHeight="true" outlineLevel="0" collapsed="false">
      <c r="A181" s="42" t="n">
        <v>177</v>
      </c>
      <c r="B181" s="42" t="s">
        <v>3796</v>
      </c>
      <c r="C181" s="42" t="s">
        <v>3921</v>
      </c>
      <c r="D181" s="42" t="s">
        <v>195</v>
      </c>
      <c r="E181" s="42" t="s">
        <v>785</v>
      </c>
      <c r="F181" s="42" t="n">
        <v>2025</v>
      </c>
      <c r="G181" s="42" t="s">
        <v>786</v>
      </c>
      <c r="H181" s="42" t="s">
        <v>787</v>
      </c>
      <c r="I181" s="42" t="s">
        <v>3743</v>
      </c>
      <c r="J181" s="42" t="s">
        <v>25</v>
      </c>
      <c r="K181" s="42" t="n">
        <v>3</v>
      </c>
      <c r="L181" s="42" t="n">
        <v>1.5</v>
      </c>
      <c r="M181" s="42" t="s">
        <v>3741</v>
      </c>
      <c r="N181" s="42"/>
      <c r="O181" s="41"/>
      <c r="P181" s="41"/>
      <c r="Q181" s="41"/>
    </row>
    <row r="182" customFormat="false" ht="39" hidden="false" customHeight="true" outlineLevel="0" collapsed="false">
      <c r="A182" s="42" t="n">
        <v>178</v>
      </c>
      <c r="B182" s="42" t="s">
        <v>3796</v>
      </c>
      <c r="C182" s="42" t="s">
        <v>3922</v>
      </c>
      <c r="D182" s="42" t="s">
        <v>914</v>
      </c>
      <c r="E182" s="42" t="s">
        <v>915</v>
      </c>
      <c r="F182" s="42" t="n">
        <v>2025</v>
      </c>
      <c r="G182" s="42" t="s">
        <v>138</v>
      </c>
      <c r="H182" s="42" t="s">
        <v>916</v>
      </c>
      <c r="I182" s="42" t="s">
        <v>409</v>
      </c>
      <c r="J182" s="42" t="s">
        <v>25</v>
      </c>
      <c r="K182" s="42" t="n">
        <v>3</v>
      </c>
      <c r="L182" s="42" t="n">
        <v>1.5</v>
      </c>
      <c r="M182" s="42" t="s">
        <v>3741</v>
      </c>
      <c r="N182" s="42"/>
      <c r="O182" s="41"/>
      <c r="P182" s="41"/>
      <c r="Q182" s="41"/>
    </row>
    <row r="183" customFormat="false" ht="39" hidden="false" customHeight="true" outlineLevel="0" collapsed="false">
      <c r="A183" s="42" t="n">
        <v>179</v>
      </c>
      <c r="B183" s="42" t="s">
        <v>3796</v>
      </c>
      <c r="C183" s="42" t="s">
        <v>3923</v>
      </c>
      <c r="D183" s="42" t="s">
        <v>287</v>
      </c>
      <c r="E183" s="42" t="s">
        <v>286</v>
      </c>
      <c r="F183" s="42" t="n">
        <v>2023</v>
      </c>
      <c r="G183" s="42" t="s">
        <v>288</v>
      </c>
      <c r="H183" s="42" t="s">
        <v>289</v>
      </c>
      <c r="I183" s="42" t="s">
        <v>409</v>
      </c>
      <c r="J183" s="42" t="s">
        <v>25</v>
      </c>
      <c r="K183" s="42" t="n">
        <v>6</v>
      </c>
      <c r="L183" s="42" t="n">
        <v>1.5</v>
      </c>
      <c r="M183" s="42" t="s">
        <v>3741</v>
      </c>
      <c r="N183" s="42"/>
      <c r="O183" s="41"/>
      <c r="P183" s="41"/>
      <c r="Q183" s="41"/>
    </row>
    <row r="184" customFormat="false" ht="25.5" hidden="false" customHeight="true" outlineLevel="0" collapsed="false">
      <c r="A184" s="42" t="n">
        <v>180</v>
      </c>
      <c r="B184" s="42" t="s">
        <v>3796</v>
      </c>
      <c r="C184" s="42" t="s">
        <v>3924</v>
      </c>
      <c r="D184" s="42" t="s">
        <v>98</v>
      </c>
      <c r="E184" s="42" t="s">
        <v>97</v>
      </c>
      <c r="F184" s="42" t="n">
        <v>2021</v>
      </c>
      <c r="G184" s="42" t="s">
        <v>99</v>
      </c>
      <c r="H184" s="42" t="s">
        <v>100</v>
      </c>
      <c r="I184" s="42" t="s">
        <v>3743</v>
      </c>
      <c r="J184" s="42" t="s">
        <v>25</v>
      </c>
      <c r="K184" s="42" t="n">
        <v>9</v>
      </c>
      <c r="L184" s="42" t="n">
        <v>1.5</v>
      </c>
      <c r="M184" s="42" t="s">
        <v>3741</v>
      </c>
      <c r="N184" s="42"/>
      <c r="O184" s="41"/>
      <c r="P184" s="41"/>
      <c r="Q184" s="41"/>
    </row>
    <row r="185" customFormat="false" ht="64.5" hidden="false" customHeight="true" outlineLevel="0" collapsed="false">
      <c r="A185" s="42" t="n">
        <v>181</v>
      </c>
      <c r="B185" s="42" t="s">
        <v>3796</v>
      </c>
      <c r="C185" s="42" t="s">
        <v>3925</v>
      </c>
      <c r="D185" s="42" t="s">
        <v>94</v>
      </c>
      <c r="E185" s="42" t="s">
        <v>93</v>
      </c>
      <c r="F185" s="42" t="n">
        <v>2021</v>
      </c>
      <c r="G185" s="42" t="s">
        <v>95</v>
      </c>
      <c r="H185" s="42" t="s">
        <v>96</v>
      </c>
      <c r="I185" s="42" t="s">
        <v>3740</v>
      </c>
      <c r="J185" s="42" t="s">
        <v>25</v>
      </c>
      <c r="K185" s="42" t="n">
        <v>9</v>
      </c>
      <c r="L185" s="42" t="n">
        <v>1.5</v>
      </c>
      <c r="M185" s="42" t="s">
        <v>3741</v>
      </c>
      <c r="N185" s="42"/>
      <c r="O185" s="41"/>
      <c r="P185" s="41"/>
      <c r="Q185" s="41"/>
    </row>
    <row r="186" customFormat="false" ht="51.75" hidden="false" customHeight="true" outlineLevel="0" collapsed="false">
      <c r="A186" s="42" t="n">
        <v>182</v>
      </c>
      <c r="B186" s="42" t="s">
        <v>3796</v>
      </c>
      <c r="C186" s="42" t="s">
        <v>3926</v>
      </c>
      <c r="D186" s="42" t="s">
        <v>1912</v>
      </c>
      <c r="E186" s="42" t="s">
        <v>1913</v>
      </c>
      <c r="F186" s="42" t="n">
        <v>2020</v>
      </c>
      <c r="G186" s="42" t="s">
        <v>1859</v>
      </c>
      <c r="H186" s="42"/>
      <c r="I186" s="42" t="s">
        <v>409</v>
      </c>
      <c r="J186" s="42" t="s">
        <v>25</v>
      </c>
      <c r="K186" s="42" t="n">
        <v>10</v>
      </c>
      <c r="L186" s="42" t="n">
        <v>1.43</v>
      </c>
      <c r="M186" s="42" t="s">
        <v>3741</v>
      </c>
      <c r="N186" s="42"/>
      <c r="O186" s="41"/>
      <c r="P186" s="41"/>
      <c r="Q186" s="41"/>
    </row>
    <row r="187" customFormat="false" ht="64.5" hidden="false" customHeight="true" outlineLevel="0" collapsed="false">
      <c r="A187" s="42" t="n">
        <v>183</v>
      </c>
      <c r="B187" s="42" t="s">
        <v>3796</v>
      </c>
      <c r="C187" s="42" t="s">
        <v>3927</v>
      </c>
      <c r="D187" s="42" t="s">
        <v>1992</v>
      </c>
      <c r="E187" s="42" t="s">
        <v>1993</v>
      </c>
      <c r="F187" s="42" t="n">
        <v>2020</v>
      </c>
      <c r="G187" s="42" t="s">
        <v>268</v>
      </c>
      <c r="H187" s="42" t="s">
        <v>1994</v>
      </c>
      <c r="I187" s="42" t="s">
        <v>3743</v>
      </c>
      <c r="J187" s="42" t="s">
        <v>25</v>
      </c>
      <c r="K187" s="42" t="n">
        <v>10</v>
      </c>
      <c r="L187" s="42" t="n">
        <v>1.43</v>
      </c>
      <c r="M187" s="42" t="s">
        <v>3741</v>
      </c>
      <c r="N187" s="42"/>
      <c r="O187" s="41"/>
      <c r="P187" s="41"/>
      <c r="Q187" s="41"/>
    </row>
    <row r="188" customFormat="false" ht="39" hidden="false" customHeight="true" outlineLevel="0" collapsed="false">
      <c r="A188" s="42" t="n">
        <v>184</v>
      </c>
      <c r="B188" s="42" t="s">
        <v>3796</v>
      </c>
      <c r="C188" s="42" t="s">
        <v>3928</v>
      </c>
      <c r="D188" s="42" t="s">
        <v>2417</v>
      </c>
      <c r="E188" s="42" t="s">
        <v>2418</v>
      </c>
      <c r="F188" s="42" t="n">
        <v>2017</v>
      </c>
      <c r="G188" s="42" t="s">
        <v>107</v>
      </c>
      <c r="H188" s="42" t="s">
        <v>2419</v>
      </c>
      <c r="I188" s="42" t="s">
        <v>409</v>
      </c>
      <c r="J188" s="42" t="s">
        <v>25</v>
      </c>
      <c r="K188" s="42" t="n">
        <v>14</v>
      </c>
      <c r="L188" s="42" t="n">
        <v>1.4</v>
      </c>
      <c r="M188" s="42" t="s">
        <v>3741</v>
      </c>
      <c r="N188" s="42"/>
      <c r="O188" s="41"/>
      <c r="P188" s="41"/>
      <c r="Q188" s="41"/>
    </row>
    <row r="189" customFormat="false" ht="51.75" hidden="false" customHeight="true" outlineLevel="0" collapsed="false">
      <c r="A189" s="42" t="n">
        <v>185</v>
      </c>
      <c r="B189" s="42" t="s">
        <v>3796</v>
      </c>
      <c r="C189" s="42" t="s">
        <v>3929</v>
      </c>
      <c r="D189" s="42" t="s">
        <v>3256</v>
      </c>
      <c r="E189" s="42" t="s">
        <v>3257</v>
      </c>
      <c r="F189" s="42" t="n">
        <v>2019</v>
      </c>
      <c r="G189" s="42" t="s">
        <v>54</v>
      </c>
      <c r="H189" s="42" t="s">
        <v>3258</v>
      </c>
      <c r="I189" s="42" t="s">
        <v>3740</v>
      </c>
      <c r="J189" s="42" t="s">
        <v>25</v>
      </c>
      <c r="K189" s="42" t="n">
        <v>11</v>
      </c>
      <c r="L189" s="42" t="n">
        <v>1.38</v>
      </c>
      <c r="M189" s="42" t="s">
        <v>3741</v>
      </c>
      <c r="N189" s="42"/>
      <c r="O189" s="41"/>
      <c r="P189" s="41"/>
      <c r="Q189" s="41"/>
    </row>
    <row r="190" customFormat="false" ht="51.75" hidden="false" customHeight="true" outlineLevel="0" collapsed="false">
      <c r="A190" s="42" t="n">
        <v>186</v>
      </c>
      <c r="B190" s="42" t="s">
        <v>3796</v>
      </c>
      <c r="C190" s="42" t="s">
        <v>3930</v>
      </c>
      <c r="D190" s="42" t="s">
        <v>3271</v>
      </c>
      <c r="E190" s="42" t="s">
        <v>3272</v>
      </c>
      <c r="F190" s="42" t="n">
        <v>2019</v>
      </c>
      <c r="G190" s="42" t="s">
        <v>3043</v>
      </c>
      <c r="H190" s="42" t="s">
        <v>3273</v>
      </c>
      <c r="I190" s="42" t="s">
        <v>3740</v>
      </c>
      <c r="J190" s="42" t="s">
        <v>25</v>
      </c>
      <c r="K190" s="42" t="n">
        <v>11</v>
      </c>
      <c r="L190" s="42" t="n">
        <v>1.38</v>
      </c>
      <c r="M190" s="42" t="s">
        <v>3741</v>
      </c>
      <c r="N190" s="42"/>
      <c r="O190" s="41"/>
      <c r="P190" s="41"/>
      <c r="Q190" s="41"/>
    </row>
    <row r="191" customFormat="false" ht="39" hidden="false" customHeight="true" outlineLevel="0" collapsed="false">
      <c r="A191" s="42" t="n">
        <v>187</v>
      </c>
      <c r="B191" s="42" t="s">
        <v>3796</v>
      </c>
      <c r="C191" s="42" t="s">
        <v>3931</v>
      </c>
      <c r="D191" s="42" t="s">
        <v>2567</v>
      </c>
      <c r="E191" s="42" t="s">
        <v>2568</v>
      </c>
      <c r="F191" s="42" t="n">
        <v>2016</v>
      </c>
      <c r="G191" s="42" t="s">
        <v>103</v>
      </c>
      <c r="H191" s="42" t="s">
        <v>2569</v>
      </c>
      <c r="I191" s="42" t="s">
        <v>409</v>
      </c>
      <c r="J191" s="42" t="s">
        <v>25</v>
      </c>
      <c r="K191" s="42" t="n">
        <v>15</v>
      </c>
      <c r="L191" s="42" t="n">
        <v>1.36</v>
      </c>
      <c r="M191" s="42" t="s">
        <v>3741</v>
      </c>
      <c r="N191" s="42"/>
      <c r="O191" s="41"/>
      <c r="P191" s="41"/>
      <c r="Q191" s="41"/>
    </row>
    <row r="192" customFormat="false" ht="51.75" hidden="false" customHeight="true" outlineLevel="0" collapsed="false">
      <c r="A192" s="42" t="n">
        <v>188</v>
      </c>
      <c r="B192" s="42" t="s">
        <v>3796</v>
      </c>
      <c r="C192" s="42" t="s">
        <v>3932</v>
      </c>
      <c r="D192" s="42" t="s">
        <v>2586</v>
      </c>
      <c r="E192" s="42" t="s">
        <v>2587</v>
      </c>
      <c r="F192" s="42" t="n">
        <v>2016</v>
      </c>
      <c r="G192" s="42" t="s">
        <v>103</v>
      </c>
      <c r="H192" s="42" t="s">
        <v>2588</v>
      </c>
      <c r="I192" s="42" t="s">
        <v>409</v>
      </c>
      <c r="J192" s="42" t="s">
        <v>25</v>
      </c>
      <c r="K192" s="42" t="n">
        <v>15</v>
      </c>
      <c r="L192" s="42" t="n">
        <v>1.36</v>
      </c>
      <c r="M192" s="42" t="s">
        <v>3741</v>
      </c>
      <c r="N192" s="42"/>
      <c r="O192" s="41"/>
      <c r="P192" s="41"/>
      <c r="Q192" s="41"/>
    </row>
    <row r="193" customFormat="false" ht="39" hidden="false" customHeight="true" outlineLevel="0" collapsed="false">
      <c r="A193" s="42" t="n">
        <v>189</v>
      </c>
      <c r="B193" s="42" t="s">
        <v>3796</v>
      </c>
      <c r="C193" s="42" t="s">
        <v>3933</v>
      </c>
      <c r="D193" s="42" t="s">
        <v>1004</v>
      </c>
      <c r="E193" s="42" t="s">
        <v>1005</v>
      </c>
      <c r="F193" s="42" t="n">
        <v>2024</v>
      </c>
      <c r="G193" s="42" t="s">
        <v>711</v>
      </c>
      <c r="H193" s="42" t="s">
        <v>1006</v>
      </c>
      <c r="I193" s="42" t="s">
        <v>3743</v>
      </c>
      <c r="J193" s="42" t="s">
        <v>25</v>
      </c>
      <c r="K193" s="42" t="n">
        <v>4</v>
      </c>
      <c r="L193" s="42" t="n">
        <v>1.33</v>
      </c>
      <c r="M193" s="42" t="s">
        <v>3741</v>
      </c>
      <c r="N193" s="42"/>
      <c r="O193" s="41"/>
      <c r="P193" s="41"/>
      <c r="Q193" s="41"/>
    </row>
    <row r="194" customFormat="false" ht="39" hidden="false" customHeight="true" outlineLevel="0" collapsed="false">
      <c r="A194" s="42" t="n">
        <v>190</v>
      </c>
      <c r="B194" s="42" t="s">
        <v>3796</v>
      </c>
      <c r="C194" s="42" t="s">
        <v>3934</v>
      </c>
      <c r="D194" s="42" t="s">
        <v>1056</v>
      </c>
      <c r="E194" s="42" t="s">
        <v>1057</v>
      </c>
      <c r="F194" s="42" t="n">
        <v>2024</v>
      </c>
      <c r="G194" s="42" t="s">
        <v>239</v>
      </c>
      <c r="H194" s="42" t="s">
        <v>1058</v>
      </c>
      <c r="I194" s="42" t="s">
        <v>409</v>
      </c>
      <c r="J194" s="42" t="s">
        <v>25</v>
      </c>
      <c r="K194" s="42" t="n">
        <v>4</v>
      </c>
      <c r="L194" s="42" t="n">
        <v>1.33</v>
      </c>
      <c r="M194" s="42" t="s">
        <v>3741</v>
      </c>
      <c r="N194" s="42"/>
      <c r="O194" s="41"/>
      <c r="P194" s="41"/>
      <c r="Q194" s="41"/>
    </row>
    <row r="195" customFormat="false" ht="51.75" hidden="false" customHeight="true" outlineLevel="0" collapsed="false">
      <c r="A195" s="42" t="n">
        <v>191</v>
      </c>
      <c r="B195" s="42" t="s">
        <v>3796</v>
      </c>
      <c r="C195" s="42" t="s">
        <v>3935</v>
      </c>
      <c r="D195" s="42" t="s">
        <v>1076</v>
      </c>
      <c r="E195" s="42" t="s">
        <v>1077</v>
      </c>
      <c r="F195" s="42" t="n">
        <v>2024</v>
      </c>
      <c r="G195" s="42" t="s">
        <v>1078</v>
      </c>
      <c r="H195" s="42" t="s">
        <v>1079</v>
      </c>
      <c r="I195" s="42" t="s">
        <v>409</v>
      </c>
      <c r="J195" s="42" t="s">
        <v>25</v>
      </c>
      <c r="K195" s="42" t="n">
        <v>4</v>
      </c>
      <c r="L195" s="42" t="n">
        <v>1.33</v>
      </c>
      <c r="M195" s="42" t="s">
        <v>3741</v>
      </c>
      <c r="N195" s="42"/>
      <c r="O195" s="41"/>
      <c r="P195" s="41"/>
      <c r="Q195" s="41"/>
    </row>
    <row r="196" customFormat="false" ht="51.75" hidden="false" customHeight="true" outlineLevel="0" collapsed="false">
      <c r="A196" s="42" t="n">
        <v>192</v>
      </c>
      <c r="B196" s="42" t="s">
        <v>3796</v>
      </c>
      <c r="C196" s="42" t="s">
        <v>3936</v>
      </c>
      <c r="D196" s="42" t="s">
        <v>1146</v>
      </c>
      <c r="E196" s="42" t="s">
        <v>1147</v>
      </c>
      <c r="F196" s="42" t="n">
        <v>2024</v>
      </c>
      <c r="G196" s="42" t="s">
        <v>711</v>
      </c>
      <c r="H196" s="42" t="s">
        <v>1148</v>
      </c>
      <c r="I196" s="42" t="s">
        <v>3743</v>
      </c>
      <c r="J196" s="42" t="s">
        <v>25</v>
      </c>
      <c r="K196" s="42" t="n">
        <v>4</v>
      </c>
      <c r="L196" s="42" t="n">
        <v>1.33</v>
      </c>
      <c r="M196" s="42" t="s">
        <v>3741</v>
      </c>
      <c r="N196" s="42"/>
      <c r="O196" s="41"/>
      <c r="P196" s="41"/>
      <c r="Q196" s="41"/>
    </row>
    <row r="197" customFormat="false" ht="64.5" hidden="false" customHeight="true" outlineLevel="0" collapsed="false">
      <c r="A197" s="42" t="n">
        <v>193</v>
      </c>
      <c r="B197" s="42" t="s">
        <v>3796</v>
      </c>
      <c r="C197" s="42" t="s">
        <v>3937</v>
      </c>
      <c r="D197" s="42" t="s">
        <v>1168</v>
      </c>
      <c r="E197" s="42" t="s">
        <v>1169</v>
      </c>
      <c r="F197" s="42" t="n">
        <v>2024</v>
      </c>
      <c r="G197" s="42" t="s">
        <v>1170</v>
      </c>
      <c r="H197" s="42" t="s">
        <v>1171</v>
      </c>
      <c r="I197" s="42" t="s">
        <v>409</v>
      </c>
      <c r="J197" s="42" t="s">
        <v>25</v>
      </c>
      <c r="K197" s="42" t="n">
        <v>4</v>
      </c>
      <c r="L197" s="42" t="n">
        <v>1.33</v>
      </c>
      <c r="M197" s="42" t="s">
        <v>3741</v>
      </c>
      <c r="N197" s="42"/>
      <c r="O197" s="41"/>
      <c r="P197" s="41"/>
      <c r="Q197" s="41"/>
    </row>
    <row r="198" customFormat="false" ht="25.5" hidden="false" customHeight="true" outlineLevel="0" collapsed="false">
      <c r="A198" s="42" t="n">
        <v>194</v>
      </c>
      <c r="B198" s="42" t="s">
        <v>3796</v>
      </c>
      <c r="C198" s="42" t="s">
        <v>3938</v>
      </c>
      <c r="D198" s="42" t="s">
        <v>1174</v>
      </c>
      <c r="E198" s="42" t="s">
        <v>1175</v>
      </c>
      <c r="F198" s="42" t="n">
        <v>2024</v>
      </c>
      <c r="G198" s="42" t="s">
        <v>717</v>
      </c>
      <c r="H198" s="42" t="s">
        <v>1176</v>
      </c>
      <c r="I198" s="42" t="s">
        <v>3743</v>
      </c>
      <c r="J198" s="42" t="s">
        <v>25</v>
      </c>
      <c r="K198" s="42" t="n">
        <v>4</v>
      </c>
      <c r="L198" s="42" t="n">
        <v>1.33</v>
      </c>
      <c r="M198" s="42" t="s">
        <v>3741</v>
      </c>
      <c r="N198" s="42"/>
      <c r="O198" s="41"/>
      <c r="P198" s="41"/>
      <c r="Q198" s="41"/>
    </row>
    <row r="199" customFormat="false" ht="39" hidden="false" customHeight="true" outlineLevel="0" collapsed="false">
      <c r="A199" s="42" t="n">
        <v>195</v>
      </c>
      <c r="B199" s="42" t="s">
        <v>3796</v>
      </c>
      <c r="C199" s="42" t="s">
        <v>3939</v>
      </c>
      <c r="D199" s="42" t="s">
        <v>3119</v>
      </c>
      <c r="E199" s="42" t="s">
        <v>1664</v>
      </c>
      <c r="F199" s="42" t="n">
        <v>2021</v>
      </c>
      <c r="G199" s="42" t="s">
        <v>3120</v>
      </c>
      <c r="H199" s="42" t="s">
        <v>1665</v>
      </c>
      <c r="I199" s="42" t="s">
        <v>3740</v>
      </c>
      <c r="J199" s="42" t="s">
        <v>25</v>
      </c>
      <c r="K199" s="42" t="n">
        <v>8</v>
      </c>
      <c r="L199" s="42" t="n">
        <v>1.33</v>
      </c>
      <c r="M199" s="42" t="s">
        <v>3741</v>
      </c>
      <c r="N199" s="42"/>
      <c r="O199" s="41"/>
      <c r="P199" s="41"/>
      <c r="Q199" s="41"/>
    </row>
    <row r="200" customFormat="false" ht="39" hidden="false" customHeight="true" outlineLevel="0" collapsed="false">
      <c r="A200" s="42" t="n">
        <v>196</v>
      </c>
      <c r="B200" s="42" t="s">
        <v>3796</v>
      </c>
      <c r="C200" s="42" t="s">
        <v>3940</v>
      </c>
      <c r="D200" s="42" t="s">
        <v>1819</v>
      </c>
      <c r="E200" s="42" t="s">
        <v>1820</v>
      </c>
      <c r="F200" s="42" t="n">
        <v>2021</v>
      </c>
      <c r="G200" s="42" t="s">
        <v>81</v>
      </c>
      <c r="H200" s="42" t="s">
        <v>1821</v>
      </c>
      <c r="I200" s="42" t="s">
        <v>3743</v>
      </c>
      <c r="J200" s="42" t="s">
        <v>25</v>
      </c>
      <c r="K200" s="42" t="n">
        <v>8</v>
      </c>
      <c r="L200" s="42" t="n">
        <v>1.33</v>
      </c>
      <c r="M200" s="42" t="s">
        <v>3741</v>
      </c>
      <c r="N200" s="42"/>
      <c r="O200" s="41"/>
      <c r="P200" s="41"/>
      <c r="Q200" s="41"/>
    </row>
    <row r="201" customFormat="false" ht="64.5" hidden="false" customHeight="true" outlineLevel="0" collapsed="false">
      <c r="A201" s="42" t="n">
        <v>197</v>
      </c>
      <c r="B201" s="42" t="s">
        <v>3796</v>
      </c>
      <c r="C201" s="42" t="s">
        <v>3941</v>
      </c>
      <c r="D201" s="42" t="s">
        <v>2307</v>
      </c>
      <c r="E201" s="42" t="s">
        <v>2308</v>
      </c>
      <c r="F201" s="42" t="n">
        <v>2018</v>
      </c>
      <c r="G201" s="42" t="s">
        <v>2232</v>
      </c>
      <c r="H201" s="42" t="s">
        <v>2309</v>
      </c>
      <c r="I201" s="42" t="s">
        <v>409</v>
      </c>
      <c r="J201" s="42" t="s">
        <v>25</v>
      </c>
      <c r="K201" s="42" t="n">
        <v>12</v>
      </c>
      <c r="L201" s="42" t="n">
        <v>1.33</v>
      </c>
      <c r="M201" s="42" t="s">
        <v>3741</v>
      </c>
      <c r="N201" s="42"/>
      <c r="O201" s="41"/>
      <c r="P201" s="41"/>
      <c r="Q201" s="41"/>
    </row>
    <row r="202" customFormat="false" ht="39" hidden="false" customHeight="true" outlineLevel="0" collapsed="false">
      <c r="A202" s="42" t="n">
        <v>198</v>
      </c>
      <c r="B202" s="42" t="s">
        <v>3796</v>
      </c>
      <c r="C202" s="42" t="s">
        <v>3942</v>
      </c>
      <c r="D202" s="42" t="s">
        <v>1904</v>
      </c>
      <c r="E202" s="42" t="s">
        <v>1905</v>
      </c>
      <c r="F202" s="42" t="n">
        <v>2020</v>
      </c>
      <c r="G202" s="42" t="s">
        <v>1859</v>
      </c>
      <c r="H202" s="42"/>
      <c r="I202" s="42" t="s">
        <v>409</v>
      </c>
      <c r="J202" s="42" t="s">
        <v>25</v>
      </c>
      <c r="K202" s="42" t="n">
        <v>9</v>
      </c>
      <c r="L202" s="42" t="n">
        <v>1.29</v>
      </c>
      <c r="M202" s="42" t="s">
        <v>3741</v>
      </c>
      <c r="N202" s="42"/>
      <c r="O202" s="41"/>
      <c r="P202" s="41"/>
      <c r="Q202" s="41"/>
    </row>
    <row r="203" customFormat="false" ht="25.5" hidden="false" customHeight="true" outlineLevel="0" collapsed="false">
      <c r="A203" s="42" t="n">
        <v>199</v>
      </c>
      <c r="B203" s="42" t="s">
        <v>3796</v>
      </c>
      <c r="C203" s="42" t="s">
        <v>3943</v>
      </c>
      <c r="D203" s="42" t="s">
        <v>1238</v>
      </c>
      <c r="E203" s="42" t="s">
        <v>1239</v>
      </c>
      <c r="F203" s="42" t="n">
        <v>2023</v>
      </c>
      <c r="G203" s="42" t="s">
        <v>107</v>
      </c>
      <c r="H203" s="42" t="s">
        <v>1240</v>
      </c>
      <c r="I203" s="42" t="s">
        <v>409</v>
      </c>
      <c r="J203" s="42" t="s">
        <v>25</v>
      </c>
      <c r="K203" s="42" t="n">
        <v>5</v>
      </c>
      <c r="L203" s="42" t="n">
        <v>1.25</v>
      </c>
      <c r="M203" s="42" t="s">
        <v>3741</v>
      </c>
      <c r="N203" s="42"/>
      <c r="O203" s="41"/>
      <c r="P203" s="41"/>
      <c r="Q203" s="41"/>
    </row>
    <row r="204" customFormat="false" ht="51.75" hidden="false" customHeight="true" outlineLevel="0" collapsed="false">
      <c r="A204" s="42" t="n">
        <v>200</v>
      </c>
      <c r="B204" s="42" t="s">
        <v>3796</v>
      </c>
      <c r="C204" s="42" t="s">
        <v>3944</v>
      </c>
      <c r="D204" s="42" t="s">
        <v>1398</v>
      </c>
      <c r="E204" s="42" t="s">
        <v>1399</v>
      </c>
      <c r="F204" s="42" t="n">
        <v>2023</v>
      </c>
      <c r="G204" s="42" t="s">
        <v>32</v>
      </c>
      <c r="H204" s="42" t="s">
        <v>1400</v>
      </c>
      <c r="I204" s="42" t="s">
        <v>3743</v>
      </c>
      <c r="J204" s="42" t="s">
        <v>25</v>
      </c>
      <c r="K204" s="42" t="n">
        <v>5</v>
      </c>
      <c r="L204" s="42" t="n">
        <v>1.25</v>
      </c>
      <c r="M204" s="42" t="s">
        <v>3741</v>
      </c>
      <c r="N204" s="42"/>
      <c r="O204" s="41"/>
      <c r="P204" s="41"/>
      <c r="Q204" s="41"/>
    </row>
    <row r="205" customFormat="false" ht="39" hidden="false" customHeight="true" outlineLevel="0" collapsed="false">
      <c r="A205" s="42" t="n">
        <v>201</v>
      </c>
      <c r="B205" s="42" t="s">
        <v>3796</v>
      </c>
      <c r="C205" s="42" t="s">
        <v>3945</v>
      </c>
      <c r="D205" s="42" t="s">
        <v>151</v>
      </c>
      <c r="E205" s="42" t="s">
        <v>2278</v>
      </c>
      <c r="F205" s="42" t="n">
        <v>2018</v>
      </c>
      <c r="G205" s="42" t="s">
        <v>2279</v>
      </c>
      <c r="H205" s="42" t="s">
        <v>2280</v>
      </c>
      <c r="I205" s="42" t="s">
        <v>409</v>
      </c>
      <c r="J205" s="42" t="s">
        <v>25</v>
      </c>
      <c r="K205" s="42" t="n">
        <v>11</v>
      </c>
      <c r="L205" s="42" t="n">
        <v>1.22</v>
      </c>
      <c r="M205" s="42" t="s">
        <v>3741</v>
      </c>
      <c r="N205" s="42"/>
      <c r="O205" s="41"/>
      <c r="P205" s="41"/>
      <c r="Q205" s="41"/>
    </row>
    <row r="206" customFormat="false" ht="64.5" hidden="false" customHeight="true" outlineLevel="0" collapsed="false">
      <c r="A206" s="42" t="n">
        <v>202</v>
      </c>
      <c r="B206" s="42" t="s">
        <v>3796</v>
      </c>
      <c r="C206" s="42" t="s">
        <v>3946</v>
      </c>
      <c r="D206" s="42" t="s">
        <v>3602</v>
      </c>
      <c r="E206" s="42" t="s">
        <v>3603</v>
      </c>
      <c r="F206" s="42" t="n">
        <v>2018</v>
      </c>
      <c r="G206" s="42" t="s">
        <v>130</v>
      </c>
      <c r="H206" s="42" t="s">
        <v>3604</v>
      </c>
      <c r="I206" s="42" t="s">
        <v>3795</v>
      </c>
      <c r="J206" s="42" t="s">
        <v>25</v>
      </c>
      <c r="K206" s="42" t="n">
        <v>11</v>
      </c>
      <c r="L206" s="42" t="n">
        <v>1.22</v>
      </c>
      <c r="M206" s="42" t="s">
        <v>3741</v>
      </c>
      <c r="N206" s="42"/>
      <c r="O206" s="41"/>
      <c r="P206" s="41"/>
      <c r="Q206" s="41"/>
    </row>
    <row r="207" customFormat="false" ht="64.5" hidden="false" customHeight="true" outlineLevel="0" collapsed="false">
      <c r="A207" s="42" t="n">
        <v>203</v>
      </c>
      <c r="B207" s="42" t="s">
        <v>3796</v>
      </c>
      <c r="C207" s="42" t="s">
        <v>3947</v>
      </c>
      <c r="D207" s="42" t="s">
        <v>312</v>
      </c>
      <c r="E207" s="42" t="s">
        <v>311</v>
      </c>
      <c r="F207" s="42" t="n">
        <v>2022</v>
      </c>
      <c r="G207" s="42" t="s">
        <v>306</v>
      </c>
      <c r="H207" s="42" t="s">
        <v>313</v>
      </c>
      <c r="I207" s="42" t="s">
        <v>3740</v>
      </c>
      <c r="J207" s="42" t="s">
        <v>25</v>
      </c>
      <c r="K207" s="42" t="n">
        <v>6</v>
      </c>
      <c r="L207" s="42" t="n">
        <v>1.2</v>
      </c>
      <c r="M207" s="42" t="s">
        <v>3741</v>
      </c>
      <c r="N207" s="42"/>
      <c r="O207" s="41"/>
      <c r="P207" s="41"/>
      <c r="Q207" s="41"/>
    </row>
    <row r="208" customFormat="false" ht="39" hidden="false" customHeight="true" outlineLevel="0" collapsed="false">
      <c r="A208" s="42" t="n">
        <v>204</v>
      </c>
      <c r="B208" s="42" t="s">
        <v>3796</v>
      </c>
      <c r="C208" s="42" t="s">
        <v>3948</v>
      </c>
      <c r="D208" s="42" t="s">
        <v>1501</v>
      </c>
      <c r="E208" s="42" t="s">
        <v>1502</v>
      </c>
      <c r="F208" s="42" t="n">
        <v>2022</v>
      </c>
      <c r="G208" s="42" t="s">
        <v>1422</v>
      </c>
      <c r="H208" s="42" t="s">
        <v>1503</v>
      </c>
      <c r="I208" s="42" t="s">
        <v>409</v>
      </c>
      <c r="J208" s="42" t="s">
        <v>25</v>
      </c>
      <c r="K208" s="42" t="n">
        <v>6</v>
      </c>
      <c r="L208" s="42" t="n">
        <v>1.2</v>
      </c>
      <c r="M208" s="42" t="s">
        <v>3741</v>
      </c>
      <c r="N208" s="42"/>
      <c r="O208" s="41"/>
      <c r="P208" s="41"/>
      <c r="Q208" s="41"/>
    </row>
    <row r="209" customFormat="false" ht="39" hidden="false" customHeight="true" outlineLevel="0" collapsed="false">
      <c r="A209" s="42" t="n">
        <v>205</v>
      </c>
      <c r="B209" s="42" t="s">
        <v>3796</v>
      </c>
      <c r="C209" s="42" t="s">
        <v>3949</v>
      </c>
      <c r="D209" s="42" t="s">
        <v>3296</v>
      </c>
      <c r="E209" s="42" t="s">
        <v>3297</v>
      </c>
      <c r="F209" s="42" t="n">
        <v>2019</v>
      </c>
      <c r="G209" s="42" t="s">
        <v>3298</v>
      </c>
      <c r="H209" s="42" t="s">
        <v>3299</v>
      </c>
      <c r="I209" s="42" t="s">
        <v>3740</v>
      </c>
      <c r="J209" s="42" t="s">
        <v>25</v>
      </c>
      <c r="K209" s="42" t="n">
        <v>9</v>
      </c>
      <c r="L209" s="42" t="n">
        <v>1.12</v>
      </c>
      <c r="M209" s="42" t="s">
        <v>3741</v>
      </c>
      <c r="N209" s="42"/>
      <c r="O209" s="41"/>
      <c r="P209" s="41"/>
      <c r="Q209" s="41"/>
    </row>
    <row r="210" customFormat="false" ht="39" hidden="false" customHeight="true" outlineLevel="0" collapsed="false">
      <c r="A210" s="42" t="n">
        <v>206</v>
      </c>
      <c r="B210" s="42" t="s">
        <v>3796</v>
      </c>
      <c r="C210" s="42" t="s">
        <v>3950</v>
      </c>
      <c r="D210" s="42" t="s">
        <v>2241</v>
      </c>
      <c r="E210" s="42" t="s">
        <v>2242</v>
      </c>
      <c r="F210" s="42" t="n">
        <v>2018</v>
      </c>
      <c r="G210" s="42" t="s">
        <v>2243</v>
      </c>
      <c r="H210" s="42" t="s">
        <v>2244</v>
      </c>
      <c r="I210" s="42" t="s">
        <v>3743</v>
      </c>
      <c r="J210" s="42" t="s">
        <v>25</v>
      </c>
      <c r="K210" s="42" t="n">
        <v>10</v>
      </c>
      <c r="L210" s="42" t="n">
        <v>1.11</v>
      </c>
      <c r="M210" s="42" t="s">
        <v>3741</v>
      </c>
      <c r="N210" s="42"/>
      <c r="O210" s="41"/>
      <c r="P210" s="41"/>
      <c r="Q210" s="41"/>
    </row>
    <row r="211" customFormat="false" ht="39" hidden="false" customHeight="true" outlineLevel="0" collapsed="false">
      <c r="A211" s="42" t="n">
        <v>207</v>
      </c>
      <c r="B211" s="42" t="s">
        <v>3796</v>
      </c>
      <c r="C211" s="42" t="s">
        <v>3951</v>
      </c>
      <c r="D211" s="42" t="s">
        <v>2258</v>
      </c>
      <c r="E211" s="42" t="s">
        <v>2259</v>
      </c>
      <c r="F211" s="42" t="n">
        <v>2018</v>
      </c>
      <c r="G211" s="42" t="s">
        <v>66</v>
      </c>
      <c r="H211" s="42" t="s">
        <v>2260</v>
      </c>
      <c r="I211" s="42" t="s">
        <v>409</v>
      </c>
      <c r="J211" s="42" t="s">
        <v>25</v>
      </c>
      <c r="K211" s="42" t="n">
        <v>10</v>
      </c>
      <c r="L211" s="42" t="n">
        <v>1.11</v>
      </c>
      <c r="M211" s="42" t="s">
        <v>3741</v>
      </c>
      <c r="N211" s="42"/>
      <c r="O211" s="41"/>
      <c r="P211" s="41"/>
      <c r="Q211" s="41"/>
    </row>
    <row r="212" customFormat="false" ht="39" hidden="false" customHeight="true" outlineLevel="0" collapsed="false">
      <c r="A212" s="42" t="n">
        <v>208</v>
      </c>
      <c r="B212" s="42" t="s">
        <v>3796</v>
      </c>
      <c r="C212" s="42" t="s">
        <v>3952</v>
      </c>
      <c r="D212" s="42" t="s">
        <v>2350</v>
      </c>
      <c r="E212" s="42" t="s">
        <v>2351</v>
      </c>
      <c r="F212" s="42" t="n">
        <v>2018</v>
      </c>
      <c r="G212" s="42" t="s">
        <v>32</v>
      </c>
      <c r="H212" s="42" t="s">
        <v>2352</v>
      </c>
      <c r="I212" s="42" t="s">
        <v>3743</v>
      </c>
      <c r="J212" s="42" t="s">
        <v>25</v>
      </c>
      <c r="K212" s="42" t="n">
        <v>10</v>
      </c>
      <c r="L212" s="42" t="n">
        <v>1.11</v>
      </c>
      <c r="M212" s="42" t="s">
        <v>3741</v>
      </c>
      <c r="N212" s="42"/>
      <c r="O212" s="41"/>
      <c r="P212" s="41"/>
      <c r="Q212" s="41"/>
    </row>
    <row r="213" customFormat="false" ht="39" hidden="false" customHeight="true" outlineLevel="0" collapsed="false">
      <c r="A213" s="42" t="n">
        <v>209</v>
      </c>
      <c r="B213" s="42" t="s">
        <v>3796</v>
      </c>
      <c r="C213" s="42" t="s">
        <v>3953</v>
      </c>
      <c r="D213" s="42" t="s">
        <v>2389</v>
      </c>
      <c r="E213" s="42" t="s">
        <v>2390</v>
      </c>
      <c r="F213" s="42" t="n">
        <v>2017</v>
      </c>
      <c r="G213" s="42" t="s">
        <v>130</v>
      </c>
      <c r="H213" s="42" t="s">
        <v>2391</v>
      </c>
      <c r="I213" s="42" t="s">
        <v>3743</v>
      </c>
      <c r="J213" s="42" t="s">
        <v>25</v>
      </c>
      <c r="K213" s="42" t="n">
        <v>11</v>
      </c>
      <c r="L213" s="42" t="n">
        <v>1.1</v>
      </c>
      <c r="M213" s="42" t="s">
        <v>3741</v>
      </c>
      <c r="N213" s="42"/>
      <c r="O213" s="41"/>
      <c r="P213" s="41"/>
      <c r="Q213" s="41"/>
    </row>
    <row r="214" customFormat="false" ht="39" hidden="false" customHeight="true" outlineLevel="0" collapsed="false">
      <c r="A214" s="42" t="n">
        <v>210</v>
      </c>
      <c r="B214" s="42" t="s">
        <v>3796</v>
      </c>
      <c r="C214" s="42" t="s">
        <v>3954</v>
      </c>
      <c r="D214" s="42" t="s">
        <v>2450</v>
      </c>
      <c r="E214" s="42" t="s">
        <v>2451</v>
      </c>
      <c r="F214" s="42" t="n">
        <v>2017</v>
      </c>
      <c r="G214" s="42" t="s">
        <v>107</v>
      </c>
      <c r="H214" s="42" t="s">
        <v>2452</v>
      </c>
      <c r="I214" s="42" t="s">
        <v>409</v>
      </c>
      <c r="J214" s="42" t="s">
        <v>25</v>
      </c>
      <c r="K214" s="42" t="n">
        <v>11</v>
      </c>
      <c r="L214" s="42" t="n">
        <v>1.1</v>
      </c>
      <c r="M214" s="42" t="s">
        <v>3741</v>
      </c>
      <c r="N214" s="42"/>
      <c r="O214" s="41"/>
      <c r="P214" s="41"/>
      <c r="Q214" s="41"/>
    </row>
    <row r="215" customFormat="false" ht="39" hidden="false" customHeight="true" outlineLevel="0" collapsed="false">
      <c r="A215" s="42" t="n">
        <v>211</v>
      </c>
      <c r="B215" s="42" t="s">
        <v>3796</v>
      </c>
      <c r="C215" s="42" t="s">
        <v>3955</v>
      </c>
      <c r="D215" s="42" t="s">
        <v>3403</v>
      </c>
      <c r="E215" s="42" t="s">
        <v>3404</v>
      </c>
      <c r="F215" s="42" t="n">
        <v>2017</v>
      </c>
      <c r="G215" s="42" t="s">
        <v>54</v>
      </c>
      <c r="H215" s="42" t="s">
        <v>3405</v>
      </c>
      <c r="I215" s="42" t="s">
        <v>3740</v>
      </c>
      <c r="J215" s="42" t="s">
        <v>25</v>
      </c>
      <c r="K215" s="42" t="n">
        <v>11</v>
      </c>
      <c r="L215" s="42" t="n">
        <v>1.1</v>
      </c>
      <c r="M215" s="42" t="s">
        <v>3741</v>
      </c>
      <c r="N215" s="42"/>
      <c r="O215" s="41"/>
      <c r="P215" s="41"/>
      <c r="Q215" s="41"/>
    </row>
    <row r="216" customFormat="false" ht="51.75" hidden="false" customHeight="true" outlineLevel="0" collapsed="false">
      <c r="A216" s="42" t="n">
        <v>212</v>
      </c>
      <c r="B216" s="42" t="s">
        <v>3796</v>
      </c>
      <c r="C216" s="42" t="s">
        <v>3956</v>
      </c>
      <c r="D216" s="42" t="s">
        <v>536</v>
      </c>
      <c r="E216" s="42" t="s">
        <v>537</v>
      </c>
      <c r="F216" s="42" t="n">
        <v>2026</v>
      </c>
      <c r="G216" s="42" t="s">
        <v>538</v>
      </c>
      <c r="H216" s="42" t="s">
        <v>539</v>
      </c>
      <c r="I216" s="42" t="s">
        <v>3743</v>
      </c>
      <c r="J216" s="42" t="s">
        <v>25</v>
      </c>
      <c r="K216" s="42" t="n">
        <v>1</v>
      </c>
      <c r="L216" s="42" t="n">
        <v>1</v>
      </c>
      <c r="M216" s="42" t="s">
        <v>3741</v>
      </c>
      <c r="N216" s="42"/>
      <c r="O216" s="41"/>
      <c r="P216" s="41"/>
      <c r="Q216" s="41"/>
    </row>
    <row r="217" customFormat="false" ht="39" hidden="false" customHeight="true" outlineLevel="0" collapsed="false">
      <c r="A217" s="42" t="n">
        <v>213</v>
      </c>
      <c r="B217" s="42" t="s">
        <v>3796</v>
      </c>
      <c r="C217" s="42" t="s">
        <v>3957</v>
      </c>
      <c r="D217" s="42" t="s">
        <v>654</v>
      </c>
      <c r="E217" s="42" t="s">
        <v>655</v>
      </c>
      <c r="F217" s="42" t="n">
        <v>2026</v>
      </c>
      <c r="G217" s="42" t="s">
        <v>208</v>
      </c>
      <c r="H217" s="42" t="s">
        <v>656</v>
      </c>
      <c r="I217" s="42" t="s">
        <v>3743</v>
      </c>
      <c r="J217" s="42" t="s">
        <v>25</v>
      </c>
      <c r="K217" s="42" t="n">
        <v>1</v>
      </c>
      <c r="L217" s="42" t="n">
        <v>1</v>
      </c>
      <c r="M217" s="42" t="s">
        <v>3741</v>
      </c>
      <c r="N217" s="42"/>
      <c r="O217" s="41"/>
      <c r="P217" s="41"/>
      <c r="Q217" s="41"/>
    </row>
    <row r="218" customFormat="false" ht="39" hidden="false" customHeight="true" outlineLevel="0" collapsed="false">
      <c r="A218" s="42" t="n">
        <v>214</v>
      </c>
      <c r="B218" s="42" t="s">
        <v>3796</v>
      </c>
      <c r="C218" s="42" t="s">
        <v>3958</v>
      </c>
      <c r="D218" s="42" t="s">
        <v>663</v>
      </c>
      <c r="E218" s="42" t="s">
        <v>664</v>
      </c>
      <c r="F218" s="42" t="n">
        <v>2026</v>
      </c>
      <c r="G218" s="42" t="s">
        <v>665</v>
      </c>
      <c r="H218" s="42" t="s">
        <v>666</v>
      </c>
      <c r="I218" s="42" t="s">
        <v>3743</v>
      </c>
      <c r="J218" s="42" t="s">
        <v>25</v>
      </c>
      <c r="K218" s="42" t="n">
        <v>1</v>
      </c>
      <c r="L218" s="42" t="n">
        <v>1</v>
      </c>
      <c r="M218" s="42" t="s">
        <v>3741</v>
      </c>
      <c r="N218" s="42"/>
      <c r="O218" s="41"/>
      <c r="P218" s="41"/>
      <c r="Q218" s="41"/>
    </row>
    <row r="219" customFormat="false" ht="64.5" hidden="false" customHeight="true" outlineLevel="0" collapsed="false">
      <c r="A219" s="42" t="n">
        <v>215</v>
      </c>
      <c r="B219" s="42" t="s">
        <v>3796</v>
      </c>
      <c r="C219" s="42" t="s">
        <v>3959</v>
      </c>
      <c r="D219" s="42" t="s">
        <v>686</v>
      </c>
      <c r="E219" s="42" t="s">
        <v>687</v>
      </c>
      <c r="F219" s="42" t="n">
        <v>2026</v>
      </c>
      <c r="G219" s="42" t="s">
        <v>538</v>
      </c>
      <c r="H219" s="42" t="s">
        <v>688</v>
      </c>
      <c r="I219" s="42" t="s">
        <v>3743</v>
      </c>
      <c r="J219" s="42" t="s">
        <v>25</v>
      </c>
      <c r="K219" s="42" t="n">
        <v>1</v>
      </c>
      <c r="L219" s="42" t="n">
        <v>1</v>
      </c>
      <c r="M219" s="42" t="s">
        <v>3741</v>
      </c>
      <c r="N219" s="42"/>
      <c r="O219" s="41"/>
      <c r="P219" s="41"/>
      <c r="Q219" s="41"/>
    </row>
    <row r="220" customFormat="false" ht="39" hidden="false" customHeight="true" outlineLevel="0" collapsed="false">
      <c r="A220" s="42" t="n">
        <v>216</v>
      </c>
      <c r="B220" s="42" t="s">
        <v>3796</v>
      </c>
      <c r="C220" s="42" t="s">
        <v>3960</v>
      </c>
      <c r="D220" s="42" t="s">
        <v>697</v>
      </c>
      <c r="E220" s="42" t="s">
        <v>698</v>
      </c>
      <c r="F220" s="42" t="n">
        <v>2026</v>
      </c>
      <c r="G220" s="42" t="s">
        <v>699</v>
      </c>
      <c r="H220" s="42" t="s">
        <v>700</v>
      </c>
      <c r="I220" s="42" t="s">
        <v>3743</v>
      </c>
      <c r="J220" s="42" t="s">
        <v>25</v>
      </c>
      <c r="K220" s="42" t="n">
        <v>1</v>
      </c>
      <c r="L220" s="42" t="n">
        <v>1</v>
      </c>
      <c r="M220" s="42" t="s">
        <v>3741</v>
      </c>
      <c r="N220" s="42"/>
      <c r="O220" s="41"/>
      <c r="P220" s="41"/>
      <c r="Q220" s="41"/>
    </row>
    <row r="221" customFormat="false" ht="39" hidden="false" customHeight="true" outlineLevel="0" collapsed="false">
      <c r="A221" s="42" t="n">
        <v>217</v>
      </c>
      <c r="B221" s="42" t="s">
        <v>3796</v>
      </c>
      <c r="C221" s="42" t="s">
        <v>3961</v>
      </c>
      <c r="D221" s="42" t="s">
        <v>709</v>
      </c>
      <c r="E221" s="42" t="s">
        <v>710</v>
      </c>
      <c r="F221" s="42" t="n">
        <v>2026</v>
      </c>
      <c r="G221" s="42" t="s">
        <v>711</v>
      </c>
      <c r="H221" s="42" t="s">
        <v>712</v>
      </c>
      <c r="I221" s="42" t="s">
        <v>3743</v>
      </c>
      <c r="J221" s="42" t="s">
        <v>25</v>
      </c>
      <c r="K221" s="42" t="n">
        <v>1</v>
      </c>
      <c r="L221" s="42" t="n">
        <v>1</v>
      </c>
      <c r="M221" s="42" t="s">
        <v>3741</v>
      </c>
      <c r="N221" s="42"/>
      <c r="O221" s="41"/>
      <c r="P221" s="41"/>
      <c r="Q221" s="41"/>
    </row>
    <row r="222" customFormat="false" ht="51.75" hidden="false" customHeight="true" outlineLevel="0" collapsed="false">
      <c r="A222" s="42" t="n">
        <v>218</v>
      </c>
      <c r="B222" s="42" t="s">
        <v>3796</v>
      </c>
      <c r="C222" s="42" t="s">
        <v>3962</v>
      </c>
      <c r="D222" s="42" t="s">
        <v>234</v>
      </c>
      <c r="E222" s="42" t="s">
        <v>233</v>
      </c>
      <c r="F222" s="42" t="n">
        <v>2025</v>
      </c>
      <c r="G222" s="42" t="s">
        <v>235</v>
      </c>
      <c r="H222" s="42" t="s">
        <v>236</v>
      </c>
      <c r="I222" s="42" t="s">
        <v>409</v>
      </c>
      <c r="J222" s="42" t="s">
        <v>25</v>
      </c>
      <c r="K222" s="42" t="n">
        <v>2</v>
      </c>
      <c r="L222" s="42" t="n">
        <v>1</v>
      </c>
      <c r="M222" s="42" t="s">
        <v>3741</v>
      </c>
      <c r="N222" s="42"/>
      <c r="O222" s="41"/>
      <c r="P222" s="41"/>
      <c r="Q222" s="41"/>
    </row>
    <row r="223" customFormat="false" ht="64.5" hidden="false" customHeight="true" outlineLevel="0" collapsed="false">
      <c r="A223" s="42" t="n">
        <v>219</v>
      </c>
      <c r="B223" s="42" t="s">
        <v>3796</v>
      </c>
      <c r="C223" s="42" t="s">
        <v>3963</v>
      </c>
      <c r="D223" s="42" t="s">
        <v>823</v>
      </c>
      <c r="E223" s="42" t="s">
        <v>824</v>
      </c>
      <c r="F223" s="42" t="n">
        <v>2025</v>
      </c>
      <c r="G223" s="42" t="s">
        <v>254</v>
      </c>
      <c r="H223" s="42" t="s">
        <v>825</v>
      </c>
      <c r="I223" s="42" t="s">
        <v>409</v>
      </c>
      <c r="J223" s="42" t="s">
        <v>25</v>
      </c>
      <c r="K223" s="42" t="n">
        <v>2</v>
      </c>
      <c r="L223" s="42" t="n">
        <v>1</v>
      </c>
      <c r="M223" s="42" t="s">
        <v>3741</v>
      </c>
      <c r="N223" s="42"/>
      <c r="O223" s="41"/>
      <c r="P223" s="41"/>
      <c r="Q223" s="41"/>
    </row>
    <row r="224" customFormat="false" ht="51.75" hidden="false" customHeight="true" outlineLevel="0" collapsed="false">
      <c r="A224" s="42" t="n">
        <v>220</v>
      </c>
      <c r="B224" s="42" t="s">
        <v>3796</v>
      </c>
      <c r="C224" s="42" t="s">
        <v>3964</v>
      </c>
      <c r="D224" s="42" t="s">
        <v>999</v>
      </c>
      <c r="E224" s="42" t="s">
        <v>1000</v>
      </c>
      <c r="F224" s="42" t="n">
        <v>2024</v>
      </c>
      <c r="G224" s="42" t="s">
        <v>123</v>
      </c>
      <c r="H224" s="42" t="s">
        <v>1001</v>
      </c>
      <c r="I224" s="42" t="s">
        <v>409</v>
      </c>
      <c r="J224" s="42" t="s">
        <v>25</v>
      </c>
      <c r="K224" s="42" t="n">
        <v>3</v>
      </c>
      <c r="L224" s="42" t="n">
        <v>1</v>
      </c>
      <c r="M224" s="42" t="s">
        <v>3741</v>
      </c>
      <c r="N224" s="42"/>
      <c r="O224" s="41"/>
      <c r="P224" s="41"/>
      <c r="Q224" s="41"/>
    </row>
    <row r="225" customFormat="false" ht="78" hidden="false" customHeight="true" outlineLevel="0" collapsed="false">
      <c r="A225" s="42" t="n">
        <v>221</v>
      </c>
      <c r="B225" s="42" t="s">
        <v>3796</v>
      </c>
      <c r="C225" s="42" t="s">
        <v>3965</v>
      </c>
      <c r="D225" s="42" t="s">
        <v>1009</v>
      </c>
      <c r="E225" s="42" t="s">
        <v>1010</v>
      </c>
      <c r="F225" s="42" t="n">
        <v>2024</v>
      </c>
      <c r="G225" s="42" t="s">
        <v>123</v>
      </c>
      <c r="H225" s="42" t="s">
        <v>1011</v>
      </c>
      <c r="I225" s="42" t="s">
        <v>409</v>
      </c>
      <c r="J225" s="42" t="s">
        <v>25</v>
      </c>
      <c r="K225" s="42" t="n">
        <v>3</v>
      </c>
      <c r="L225" s="42" t="n">
        <v>1</v>
      </c>
      <c r="M225" s="42" t="s">
        <v>3741</v>
      </c>
      <c r="N225" s="42"/>
      <c r="O225" s="41"/>
      <c r="P225" s="41"/>
      <c r="Q225" s="41"/>
    </row>
    <row r="226" customFormat="false" ht="39" hidden="false" customHeight="true" outlineLevel="0" collapsed="false">
      <c r="A226" s="42" t="n">
        <v>222</v>
      </c>
      <c r="B226" s="42" t="s">
        <v>3796</v>
      </c>
      <c r="C226" s="42" t="s">
        <v>3966</v>
      </c>
      <c r="D226" s="42" t="s">
        <v>291</v>
      </c>
      <c r="E226" s="42" t="s">
        <v>290</v>
      </c>
      <c r="F226" s="42" t="n">
        <v>2024</v>
      </c>
      <c r="G226" s="42" t="s">
        <v>123</v>
      </c>
      <c r="H226" s="42" t="s">
        <v>292</v>
      </c>
      <c r="I226" s="42" t="s">
        <v>409</v>
      </c>
      <c r="J226" s="42" t="s">
        <v>25</v>
      </c>
      <c r="K226" s="42" t="n">
        <v>3</v>
      </c>
      <c r="L226" s="42" t="n">
        <v>1</v>
      </c>
      <c r="M226" s="42" t="s">
        <v>3741</v>
      </c>
      <c r="N226" s="42"/>
      <c r="O226" s="41"/>
      <c r="P226" s="41"/>
      <c r="Q226" s="41"/>
    </row>
    <row r="227" customFormat="false" ht="64.5" hidden="false" customHeight="true" outlineLevel="0" collapsed="false">
      <c r="A227" s="42" t="n">
        <v>223</v>
      </c>
      <c r="B227" s="42" t="s">
        <v>3796</v>
      </c>
      <c r="C227" s="42" t="s">
        <v>3967</v>
      </c>
      <c r="D227" s="42" t="s">
        <v>238</v>
      </c>
      <c r="E227" s="42" t="s">
        <v>237</v>
      </c>
      <c r="F227" s="42" t="n">
        <v>2024</v>
      </c>
      <c r="G227" s="42" t="s">
        <v>239</v>
      </c>
      <c r="H227" s="42" t="s">
        <v>240</v>
      </c>
      <c r="I227" s="42" t="s">
        <v>409</v>
      </c>
      <c r="J227" s="42" t="s">
        <v>25</v>
      </c>
      <c r="K227" s="42" t="n">
        <v>3</v>
      </c>
      <c r="L227" s="42" t="n">
        <v>1</v>
      </c>
      <c r="M227" s="42" t="s">
        <v>3741</v>
      </c>
      <c r="N227" s="42"/>
      <c r="O227" s="41"/>
      <c r="P227" s="41"/>
      <c r="Q227" s="41"/>
    </row>
    <row r="228" customFormat="false" ht="64.5" hidden="false" customHeight="true" outlineLevel="0" collapsed="false">
      <c r="A228" s="42" t="n">
        <v>224</v>
      </c>
      <c r="B228" s="42" t="s">
        <v>3796</v>
      </c>
      <c r="C228" s="42" t="s">
        <v>3968</v>
      </c>
      <c r="D228" s="42" t="s">
        <v>1197</v>
      </c>
      <c r="E228" s="42" t="s">
        <v>1198</v>
      </c>
      <c r="F228" s="42" t="n">
        <v>2024</v>
      </c>
      <c r="G228" s="42" t="s">
        <v>1199</v>
      </c>
      <c r="H228" s="42" t="s">
        <v>1200</v>
      </c>
      <c r="I228" s="42" t="s">
        <v>409</v>
      </c>
      <c r="J228" s="42" t="s">
        <v>25</v>
      </c>
      <c r="K228" s="42" t="n">
        <v>3</v>
      </c>
      <c r="L228" s="42" t="n">
        <v>1</v>
      </c>
      <c r="M228" s="42" t="s">
        <v>3741</v>
      </c>
      <c r="N228" s="42"/>
      <c r="O228" s="41"/>
      <c r="P228" s="41"/>
      <c r="Q228" s="41"/>
    </row>
    <row r="229" customFormat="false" ht="39" hidden="false" customHeight="true" outlineLevel="0" collapsed="false">
      <c r="A229" s="42" t="n">
        <v>225</v>
      </c>
      <c r="B229" s="42" t="s">
        <v>3796</v>
      </c>
      <c r="C229" s="42" t="s">
        <v>3969</v>
      </c>
      <c r="D229" s="42" t="s">
        <v>1511</v>
      </c>
      <c r="E229" s="42" t="s">
        <v>1512</v>
      </c>
      <c r="F229" s="42" t="n">
        <v>2022</v>
      </c>
      <c r="G229" s="42" t="s">
        <v>1513</v>
      </c>
      <c r="H229" s="42" t="s">
        <v>1514</v>
      </c>
      <c r="I229" s="42" t="s">
        <v>409</v>
      </c>
      <c r="J229" s="42" t="s">
        <v>25</v>
      </c>
      <c r="K229" s="42" t="n">
        <v>5</v>
      </c>
      <c r="L229" s="42" t="n">
        <v>1</v>
      </c>
      <c r="M229" s="42" t="s">
        <v>3741</v>
      </c>
      <c r="N229" s="42"/>
      <c r="O229" s="41"/>
      <c r="P229" s="41"/>
      <c r="Q229" s="41"/>
    </row>
    <row r="230" customFormat="false" ht="39" hidden="false" customHeight="true" outlineLevel="0" collapsed="false">
      <c r="A230" s="42" t="n">
        <v>226</v>
      </c>
      <c r="B230" s="42" t="s">
        <v>3796</v>
      </c>
      <c r="C230" s="42" t="s">
        <v>3970</v>
      </c>
      <c r="D230" s="42" t="s">
        <v>1581</v>
      </c>
      <c r="E230" s="42" t="s">
        <v>1582</v>
      </c>
      <c r="F230" s="42" t="n">
        <v>2022</v>
      </c>
      <c r="G230" s="42" t="s">
        <v>130</v>
      </c>
      <c r="H230" s="42" t="s">
        <v>1583</v>
      </c>
      <c r="I230" s="42" t="s">
        <v>3743</v>
      </c>
      <c r="J230" s="42" t="s">
        <v>25</v>
      </c>
      <c r="K230" s="42" t="n">
        <v>5</v>
      </c>
      <c r="L230" s="42" t="n">
        <v>1</v>
      </c>
      <c r="M230" s="42" t="s">
        <v>3741</v>
      </c>
      <c r="N230" s="42"/>
      <c r="O230" s="41"/>
      <c r="P230" s="41"/>
      <c r="Q230" s="41"/>
    </row>
    <row r="231" customFormat="false" ht="64.5" hidden="false" customHeight="true" outlineLevel="0" collapsed="false">
      <c r="A231" s="42" t="n">
        <v>227</v>
      </c>
      <c r="B231" s="42" t="s">
        <v>3796</v>
      </c>
      <c r="C231" s="42" t="s">
        <v>3971</v>
      </c>
      <c r="D231" s="42" t="s">
        <v>1632</v>
      </c>
      <c r="E231" s="42" t="s">
        <v>1633</v>
      </c>
      <c r="F231" s="42" t="n">
        <v>2022</v>
      </c>
      <c r="G231" s="42" t="s">
        <v>1422</v>
      </c>
      <c r="H231" s="42" t="s">
        <v>1634</v>
      </c>
      <c r="I231" s="42" t="s">
        <v>409</v>
      </c>
      <c r="J231" s="42" t="s">
        <v>25</v>
      </c>
      <c r="K231" s="42" t="n">
        <v>5</v>
      </c>
      <c r="L231" s="42" t="n">
        <v>1</v>
      </c>
      <c r="M231" s="42" t="s">
        <v>3741</v>
      </c>
      <c r="N231" s="42"/>
      <c r="O231" s="41"/>
      <c r="P231" s="41"/>
      <c r="Q231" s="41"/>
    </row>
    <row r="232" customFormat="false" ht="39" hidden="false" customHeight="true" outlineLevel="0" collapsed="false">
      <c r="A232" s="42" t="n">
        <v>228</v>
      </c>
      <c r="B232" s="42" t="s">
        <v>3796</v>
      </c>
      <c r="C232" s="42" t="s">
        <v>3972</v>
      </c>
      <c r="D232" s="42" t="s">
        <v>1637</v>
      </c>
      <c r="E232" s="42" t="s">
        <v>1638</v>
      </c>
      <c r="F232" s="42" t="n">
        <v>2022</v>
      </c>
      <c r="G232" s="42" t="s">
        <v>1639</v>
      </c>
      <c r="H232" s="42" t="s">
        <v>1640</v>
      </c>
      <c r="I232" s="42" t="s">
        <v>409</v>
      </c>
      <c r="J232" s="42" t="s">
        <v>25</v>
      </c>
      <c r="K232" s="42" t="n">
        <v>5</v>
      </c>
      <c r="L232" s="42" t="n">
        <v>1</v>
      </c>
      <c r="M232" s="42" t="s">
        <v>3741</v>
      </c>
      <c r="N232" s="42"/>
      <c r="O232" s="41"/>
      <c r="P232" s="41"/>
      <c r="Q232" s="41"/>
    </row>
    <row r="233" customFormat="false" ht="64.5" hidden="false" customHeight="true" outlineLevel="0" collapsed="false">
      <c r="A233" s="42" t="n">
        <v>229</v>
      </c>
      <c r="B233" s="42" t="s">
        <v>3796</v>
      </c>
      <c r="C233" s="42" t="s">
        <v>3973</v>
      </c>
      <c r="D233" s="42" t="s">
        <v>242</v>
      </c>
      <c r="E233" s="42" t="s">
        <v>241</v>
      </c>
      <c r="F233" s="42" t="n">
        <v>2021</v>
      </c>
      <c r="G233" s="42" t="s">
        <v>166</v>
      </c>
      <c r="H233" s="42" t="s">
        <v>243</v>
      </c>
      <c r="I233" s="42" t="s">
        <v>3743</v>
      </c>
      <c r="J233" s="42" t="s">
        <v>25</v>
      </c>
      <c r="K233" s="42" t="n">
        <v>6</v>
      </c>
      <c r="L233" s="42" t="n">
        <v>1</v>
      </c>
      <c r="M233" s="42" t="s">
        <v>3741</v>
      </c>
      <c r="N233" s="42"/>
      <c r="O233" s="41"/>
      <c r="P233" s="41"/>
      <c r="Q233" s="41"/>
    </row>
    <row r="234" customFormat="false" ht="51.75" hidden="false" customHeight="true" outlineLevel="0" collapsed="false">
      <c r="A234" s="42" t="n">
        <v>230</v>
      </c>
      <c r="B234" s="42" t="s">
        <v>3796</v>
      </c>
      <c r="C234" s="42" t="s">
        <v>3974</v>
      </c>
      <c r="D234" s="42" t="s">
        <v>1844</v>
      </c>
      <c r="E234" s="42" t="s">
        <v>1845</v>
      </c>
      <c r="F234" s="42" t="n">
        <v>2021</v>
      </c>
      <c r="G234" s="42" t="s">
        <v>1846</v>
      </c>
      <c r="H234" s="42" t="s">
        <v>1847</v>
      </c>
      <c r="I234" s="42" t="s">
        <v>409</v>
      </c>
      <c r="J234" s="42" t="s">
        <v>25</v>
      </c>
      <c r="K234" s="42" t="n">
        <v>6</v>
      </c>
      <c r="L234" s="42" t="n">
        <v>1</v>
      </c>
      <c r="M234" s="42" t="s">
        <v>3741</v>
      </c>
      <c r="N234" s="42"/>
      <c r="O234" s="41"/>
      <c r="P234" s="41"/>
      <c r="Q234" s="41"/>
    </row>
    <row r="235" customFormat="false" ht="51.75" hidden="false" customHeight="true" outlineLevel="0" collapsed="false">
      <c r="A235" s="42" t="n">
        <v>231</v>
      </c>
      <c r="B235" s="42" t="s">
        <v>3796</v>
      </c>
      <c r="C235" s="42" t="s">
        <v>3975</v>
      </c>
      <c r="D235" s="42" t="s">
        <v>1908</v>
      </c>
      <c r="E235" s="42" t="s">
        <v>1909</v>
      </c>
      <c r="F235" s="42" t="n">
        <v>2020</v>
      </c>
      <c r="G235" s="42" t="s">
        <v>1859</v>
      </c>
      <c r="H235" s="42"/>
      <c r="I235" s="42" t="s">
        <v>409</v>
      </c>
      <c r="J235" s="42" t="s">
        <v>25</v>
      </c>
      <c r="K235" s="42" t="n">
        <v>7</v>
      </c>
      <c r="L235" s="42" t="n">
        <v>1</v>
      </c>
      <c r="M235" s="42" t="s">
        <v>3741</v>
      </c>
      <c r="N235" s="42"/>
      <c r="O235" s="41"/>
      <c r="P235" s="41"/>
      <c r="Q235" s="41"/>
    </row>
    <row r="236" customFormat="false" ht="64.5" hidden="false" customHeight="true" outlineLevel="0" collapsed="false">
      <c r="A236" s="42" t="n">
        <v>232</v>
      </c>
      <c r="B236" s="42" t="s">
        <v>3796</v>
      </c>
      <c r="C236" s="42" t="s">
        <v>3976</v>
      </c>
      <c r="D236" s="42" t="s">
        <v>2022</v>
      </c>
      <c r="E236" s="42" t="s">
        <v>2023</v>
      </c>
      <c r="F236" s="42" t="n">
        <v>2020</v>
      </c>
      <c r="G236" s="42" t="s">
        <v>2024</v>
      </c>
      <c r="H236" s="42" t="s">
        <v>2025</v>
      </c>
      <c r="I236" s="42" t="s">
        <v>409</v>
      </c>
      <c r="J236" s="42" t="s">
        <v>25</v>
      </c>
      <c r="K236" s="42" t="n">
        <v>7</v>
      </c>
      <c r="L236" s="42" t="n">
        <v>1</v>
      </c>
      <c r="M236" s="42" t="s">
        <v>3741</v>
      </c>
      <c r="N236" s="42"/>
      <c r="O236" s="41"/>
      <c r="P236" s="41"/>
      <c r="Q236" s="41"/>
    </row>
    <row r="237" customFormat="false" ht="25.5" hidden="false" customHeight="true" outlineLevel="0" collapsed="false">
      <c r="A237" s="42" t="n">
        <v>233</v>
      </c>
      <c r="B237" s="42" t="s">
        <v>3796</v>
      </c>
      <c r="C237" s="42" t="s">
        <v>3977</v>
      </c>
      <c r="D237" s="42" t="s">
        <v>2247</v>
      </c>
      <c r="E237" s="42" t="s">
        <v>2248</v>
      </c>
      <c r="F237" s="42" t="n">
        <v>2018</v>
      </c>
      <c r="G237" s="42" t="s">
        <v>50</v>
      </c>
      <c r="H237" s="42" t="s">
        <v>2249</v>
      </c>
      <c r="I237" s="42" t="s">
        <v>3743</v>
      </c>
      <c r="J237" s="42" t="s">
        <v>25</v>
      </c>
      <c r="K237" s="42" t="n">
        <v>9</v>
      </c>
      <c r="L237" s="42" t="n">
        <v>1</v>
      </c>
      <c r="M237" s="42" t="s">
        <v>3741</v>
      </c>
      <c r="N237" s="42"/>
      <c r="O237" s="41"/>
      <c r="P237" s="41"/>
      <c r="Q237" s="41"/>
    </row>
    <row r="238" customFormat="false" ht="39" hidden="false" customHeight="true" outlineLevel="0" collapsed="false">
      <c r="A238" s="42" t="n">
        <v>234</v>
      </c>
      <c r="B238" s="42" t="s">
        <v>3796</v>
      </c>
      <c r="C238" s="42" t="s">
        <v>3978</v>
      </c>
      <c r="D238" s="42" t="s">
        <v>2301</v>
      </c>
      <c r="E238" s="42" t="s">
        <v>2302</v>
      </c>
      <c r="F238" s="42" t="n">
        <v>2018</v>
      </c>
      <c r="G238" s="42" t="s">
        <v>2303</v>
      </c>
      <c r="H238" s="42" t="s">
        <v>2304</v>
      </c>
      <c r="I238" s="42" t="s">
        <v>409</v>
      </c>
      <c r="J238" s="42" t="s">
        <v>25</v>
      </c>
      <c r="K238" s="42" t="n">
        <v>9</v>
      </c>
      <c r="L238" s="42" t="n">
        <v>1</v>
      </c>
      <c r="M238" s="42" t="s">
        <v>3741</v>
      </c>
      <c r="N238" s="42"/>
      <c r="O238" s="41"/>
      <c r="P238" s="41"/>
      <c r="Q238" s="41"/>
    </row>
    <row r="239" customFormat="false" ht="51.75" hidden="false" customHeight="true" outlineLevel="0" collapsed="false">
      <c r="A239" s="42" t="n">
        <v>235</v>
      </c>
      <c r="B239" s="42" t="s">
        <v>3796</v>
      </c>
      <c r="C239" s="42" t="s">
        <v>3979</v>
      </c>
      <c r="D239" s="42" t="s">
        <v>363</v>
      </c>
      <c r="E239" s="42" t="s">
        <v>362</v>
      </c>
      <c r="F239" s="42" t="n">
        <v>2017</v>
      </c>
      <c r="G239" s="42" t="s">
        <v>364</v>
      </c>
      <c r="H239" s="42" t="s">
        <v>365</v>
      </c>
      <c r="I239" s="42" t="s">
        <v>3767</v>
      </c>
      <c r="J239" s="42" t="s">
        <v>25</v>
      </c>
      <c r="K239" s="42" t="n">
        <v>10</v>
      </c>
      <c r="L239" s="42" t="n">
        <v>1</v>
      </c>
      <c r="M239" s="42" t="s">
        <v>3741</v>
      </c>
      <c r="N239" s="42"/>
      <c r="O239" s="41"/>
      <c r="P239" s="41"/>
      <c r="Q239" s="41"/>
    </row>
    <row r="240" customFormat="false" ht="51.75" hidden="false" customHeight="true" outlineLevel="0" collapsed="false">
      <c r="A240" s="42" t="n">
        <v>236</v>
      </c>
      <c r="B240" s="42" t="s">
        <v>3796</v>
      </c>
      <c r="C240" s="42" t="s">
        <v>3980</v>
      </c>
      <c r="D240" s="42" t="s">
        <v>2444</v>
      </c>
      <c r="E240" s="42" t="s">
        <v>2445</v>
      </c>
      <c r="F240" s="42" t="n">
        <v>2017</v>
      </c>
      <c r="G240" s="42" t="s">
        <v>2446</v>
      </c>
      <c r="H240" s="42" t="s">
        <v>2447</v>
      </c>
      <c r="I240" s="42" t="s">
        <v>409</v>
      </c>
      <c r="J240" s="42" t="s">
        <v>25</v>
      </c>
      <c r="K240" s="42" t="n">
        <v>10</v>
      </c>
      <c r="L240" s="42" t="n">
        <v>1</v>
      </c>
      <c r="M240" s="42" t="s">
        <v>3741</v>
      </c>
      <c r="N240" s="42"/>
      <c r="O240" s="41"/>
      <c r="P240" s="41"/>
      <c r="Q240" s="41"/>
    </row>
    <row r="241" customFormat="false" ht="51.75" hidden="false" customHeight="true" outlineLevel="0" collapsed="false">
      <c r="A241" s="42" t="n">
        <v>237</v>
      </c>
      <c r="B241" s="42" t="s">
        <v>3796</v>
      </c>
      <c r="C241" s="42" t="s">
        <v>3981</v>
      </c>
      <c r="D241" s="42" t="s">
        <v>267</v>
      </c>
      <c r="E241" s="42" t="s">
        <v>293</v>
      </c>
      <c r="F241" s="42" t="n">
        <v>2016</v>
      </c>
      <c r="G241" s="42" t="s">
        <v>103</v>
      </c>
      <c r="H241" s="42"/>
      <c r="I241" s="42" t="s">
        <v>409</v>
      </c>
      <c r="J241" s="42" t="s">
        <v>25</v>
      </c>
      <c r="K241" s="42" t="n">
        <v>11</v>
      </c>
      <c r="L241" s="42" t="n">
        <v>1</v>
      </c>
      <c r="M241" s="42" t="s">
        <v>3741</v>
      </c>
      <c r="N241" s="42"/>
      <c r="O241" s="41"/>
      <c r="P241" s="41"/>
      <c r="Q241" s="41"/>
    </row>
    <row r="242" customFormat="false" ht="39" hidden="false" customHeight="true" outlineLevel="0" collapsed="false">
      <c r="A242" s="42" t="n">
        <v>238</v>
      </c>
      <c r="B242" s="42" t="s">
        <v>3796</v>
      </c>
      <c r="C242" s="42" t="s">
        <v>3982</v>
      </c>
      <c r="D242" s="42" t="s">
        <v>2654</v>
      </c>
      <c r="E242" s="42" t="s">
        <v>2655</v>
      </c>
      <c r="F242" s="42" t="n">
        <v>2016</v>
      </c>
      <c r="G242" s="42" t="s">
        <v>103</v>
      </c>
      <c r="H242" s="42" t="s">
        <v>2656</v>
      </c>
      <c r="I242" s="42" t="s">
        <v>409</v>
      </c>
      <c r="J242" s="42" t="s">
        <v>25</v>
      </c>
      <c r="K242" s="42" t="n">
        <v>11</v>
      </c>
      <c r="L242" s="42" t="n">
        <v>1</v>
      </c>
      <c r="M242" s="42" t="s">
        <v>3741</v>
      </c>
      <c r="N242" s="42"/>
      <c r="O242" s="41"/>
      <c r="P242" s="41"/>
      <c r="Q242" s="41"/>
    </row>
    <row r="243" customFormat="false" ht="39" hidden="false" customHeight="true" outlineLevel="0" collapsed="false">
      <c r="A243" s="42" t="n">
        <v>239</v>
      </c>
      <c r="B243" s="42" t="s">
        <v>3796</v>
      </c>
      <c r="C243" s="42" t="s">
        <v>3983</v>
      </c>
      <c r="D243" s="42" t="s">
        <v>3607</v>
      </c>
      <c r="E243" s="42" t="s">
        <v>3608</v>
      </c>
      <c r="F243" s="42" t="n">
        <v>2025</v>
      </c>
      <c r="G243" s="42" t="s">
        <v>1234</v>
      </c>
      <c r="H243" s="42" t="s">
        <v>3609</v>
      </c>
      <c r="I243" s="42" t="s">
        <v>3795</v>
      </c>
      <c r="J243" s="42" t="s">
        <v>25</v>
      </c>
      <c r="K243" s="42" t="n">
        <v>2</v>
      </c>
      <c r="L243" s="42" t="n">
        <v>1</v>
      </c>
      <c r="M243" s="42" t="s">
        <v>3741</v>
      </c>
      <c r="N243" s="42"/>
      <c r="O243" s="41"/>
      <c r="P243" s="41"/>
      <c r="Q243" s="41"/>
    </row>
    <row r="244" customFormat="false" ht="51.75" hidden="false" customHeight="true" outlineLevel="0" collapsed="false">
      <c r="A244" s="42" t="n">
        <v>240</v>
      </c>
      <c r="B244" s="42" t="s">
        <v>3796</v>
      </c>
      <c r="C244" s="42" t="s">
        <v>3984</v>
      </c>
      <c r="D244" s="42" t="s">
        <v>2558</v>
      </c>
      <c r="E244" s="42" t="s">
        <v>2559</v>
      </c>
      <c r="F244" s="42" t="n">
        <v>2016</v>
      </c>
      <c r="G244" s="42" t="s">
        <v>2560</v>
      </c>
      <c r="H244" s="42" t="s">
        <v>2561</v>
      </c>
      <c r="I244" s="42" t="s">
        <v>409</v>
      </c>
      <c r="J244" s="42" t="s">
        <v>25</v>
      </c>
      <c r="K244" s="42" t="n">
        <v>10</v>
      </c>
      <c r="L244" s="42" t="n">
        <v>0.91</v>
      </c>
      <c r="M244" s="42" t="s">
        <v>3741</v>
      </c>
      <c r="N244" s="42"/>
      <c r="O244" s="41"/>
      <c r="P244" s="41"/>
      <c r="Q244" s="41"/>
    </row>
    <row r="245" customFormat="false" ht="78" hidden="false" customHeight="true" outlineLevel="0" collapsed="false">
      <c r="A245" s="42" t="n">
        <v>241</v>
      </c>
      <c r="B245" s="42" t="s">
        <v>3796</v>
      </c>
      <c r="C245" s="42" t="s">
        <v>3985</v>
      </c>
      <c r="D245" s="42" t="s">
        <v>2045</v>
      </c>
      <c r="E245" s="42" t="s">
        <v>2046</v>
      </c>
      <c r="F245" s="42" t="n">
        <v>2019</v>
      </c>
      <c r="G245" s="42" t="s">
        <v>2047</v>
      </c>
      <c r="H245" s="42" t="s">
        <v>2048</v>
      </c>
      <c r="I245" s="42" t="s">
        <v>409</v>
      </c>
      <c r="J245" s="42" t="s">
        <v>25</v>
      </c>
      <c r="K245" s="42" t="n">
        <v>7</v>
      </c>
      <c r="L245" s="42" t="n">
        <v>0.88</v>
      </c>
      <c r="M245" s="42" t="s">
        <v>3741</v>
      </c>
      <c r="N245" s="42"/>
      <c r="O245" s="41"/>
      <c r="P245" s="41"/>
      <c r="Q245" s="41"/>
    </row>
    <row r="246" customFormat="false" ht="39" hidden="false" customHeight="true" outlineLevel="0" collapsed="false">
      <c r="A246" s="42" t="n">
        <v>242</v>
      </c>
      <c r="B246" s="42" t="s">
        <v>3796</v>
      </c>
      <c r="C246" s="42" t="s">
        <v>3986</v>
      </c>
      <c r="D246" s="42" t="s">
        <v>2080</v>
      </c>
      <c r="E246" s="42" t="s">
        <v>2081</v>
      </c>
      <c r="F246" s="42" t="n">
        <v>2019</v>
      </c>
      <c r="G246" s="42" t="s">
        <v>107</v>
      </c>
      <c r="H246" s="42" t="s">
        <v>2082</v>
      </c>
      <c r="I246" s="42" t="s">
        <v>409</v>
      </c>
      <c r="J246" s="42" t="s">
        <v>25</v>
      </c>
      <c r="K246" s="42" t="n">
        <v>7</v>
      </c>
      <c r="L246" s="42" t="n">
        <v>0.88</v>
      </c>
      <c r="M246" s="42" t="s">
        <v>3741</v>
      </c>
      <c r="N246" s="42"/>
      <c r="O246" s="41"/>
      <c r="P246" s="41"/>
      <c r="Q246" s="41"/>
    </row>
    <row r="247" customFormat="false" ht="51.75" hidden="false" customHeight="true" outlineLevel="0" collapsed="false">
      <c r="A247" s="42" t="n">
        <v>243</v>
      </c>
      <c r="B247" s="42" t="s">
        <v>3796</v>
      </c>
      <c r="C247" s="42" t="s">
        <v>3987</v>
      </c>
      <c r="D247" s="42" t="s">
        <v>3261</v>
      </c>
      <c r="E247" s="42" t="s">
        <v>3262</v>
      </c>
      <c r="F247" s="42" t="n">
        <v>2019</v>
      </c>
      <c r="G247" s="42" t="s">
        <v>3263</v>
      </c>
      <c r="H247" s="42" t="s">
        <v>3264</v>
      </c>
      <c r="I247" s="42" t="s">
        <v>3740</v>
      </c>
      <c r="J247" s="42" t="s">
        <v>25</v>
      </c>
      <c r="K247" s="42" t="n">
        <v>7</v>
      </c>
      <c r="L247" s="42" t="n">
        <v>0.88</v>
      </c>
      <c r="M247" s="42" t="s">
        <v>3741</v>
      </c>
      <c r="N247" s="42"/>
      <c r="O247" s="41"/>
      <c r="P247" s="41"/>
      <c r="Q247" s="41"/>
    </row>
    <row r="248" customFormat="false" ht="39" hidden="false" customHeight="true" outlineLevel="0" collapsed="false">
      <c r="A248" s="42" t="n">
        <v>244</v>
      </c>
      <c r="B248" s="42" t="s">
        <v>3796</v>
      </c>
      <c r="C248" s="42" t="s">
        <v>3988</v>
      </c>
      <c r="D248" s="42" t="s">
        <v>2001</v>
      </c>
      <c r="E248" s="42" t="s">
        <v>2002</v>
      </c>
      <c r="F248" s="42" t="n">
        <v>2020</v>
      </c>
      <c r="G248" s="42" t="s">
        <v>1859</v>
      </c>
      <c r="H248" s="42"/>
      <c r="I248" s="42" t="s">
        <v>409</v>
      </c>
      <c r="J248" s="42" t="s">
        <v>25</v>
      </c>
      <c r="K248" s="42" t="n">
        <v>6</v>
      </c>
      <c r="L248" s="42" t="n">
        <v>0.86</v>
      </c>
      <c r="M248" s="42" t="s">
        <v>3741</v>
      </c>
      <c r="N248" s="42"/>
      <c r="O248" s="41"/>
      <c r="P248" s="41"/>
      <c r="Q248" s="41"/>
    </row>
    <row r="249" customFormat="false" ht="39" hidden="false" customHeight="true" outlineLevel="0" collapsed="false">
      <c r="A249" s="42" t="n">
        <v>245</v>
      </c>
      <c r="B249" s="42" t="s">
        <v>3796</v>
      </c>
      <c r="C249" s="42" t="s">
        <v>3989</v>
      </c>
      <c r="D249" s="42" t="s">
        <v>102</v>
      </c>
      <c r="E249" s="42" t="s">
        <v>101</v>
      </c>
      <c r="F249" s="42" t="n">
        <v>2016</v>
      </c>
      <c r="G249" s="42" t="s">
        <v>103</v>
      </c>
      <c r="H249" s="42" t="s">
        <v>104</v>
      </c>
      <c r="I249" s="42" t="s">
        <v>409</v>
      </c>
      <c r="J249" s="42" t="s">
        <v>25</v>
      </c>
      <c r="K249" s="42" t="n">
        <v>9</v>
      </c>
      <c r="L249" s="42" t="n">
        <v>0.82</v>
      </c>
      <c r="M249" s="42" t="s">
        <v>3741</v>
      </c>
      <c r="N249" s="42"/>
      <c r="O249" s="41"/>
      <c r="P249" s="41"/>
      <c r="Q249" s="41"/>
    </row>
    <row r="250" customFormat="false" ht="39" hidden="false" customHeight="true" outlineLevel="0" collapsed="false">
      <c r="A250" s="42" t="n">
        <v>246</v>
      </c>
      <c r="B250" s="42" t="s">
        <v>3796</v>
      </c>
      <c r="C250" s="42" t="s">
        <v>3990</v>
      </c>
      <c r="D250" s="42" t="s">
        <v>2708</v>
      </c>
      <c r="E250" s="42" t="s">
        <v>2709</v>
      </c>
      <c r="F250" s="42" t="n">
        <v>2016</v>
      </c>
      <c r="G250" s="42" t="s">
        <v>58</v>
      </c>
      <c r="H250" s="42" t="s">
        <v>2710</v>
      </c>
      <c r="I250" s="42" t="s">
        <v>3743</v>
      </c>
      <c r="J250" s="42" t="s">
        <v>25</v>
      </c>
      <c r="K250" s="42" t="n">
        <v>9</v>
      </c>
      <c r="L250" s="42" t="n">
        <v>0.82</v>
      </c>
      <c r="M250" s="42" t="s">
        <v>3741</v>
      </c>
      <c r="N250" s="42"/>
      <c r="O250" s="41"/>
      <c r="P250" s="41"/>
      <c r="Q250" s="41"/>
    </row>
    <row r="251" customFormat="false" ht="90.75" hidden="false" customHeight="true" outlineLevel="0" collapsed="false">
      <c r="A251" s="42" t="n">
        <v>247</v>
      </c>
      <c r="B251" s="42" t="s">
        <v>3796</v>
      </c>
      <c r="C251" s="42" t="s">
        <v>3991</v>
      </c>
      <c r="D251" s="42" t="s">
        <v>1527</v>
      </c>
      <c r="E251" s="42" t="s">
        <v>1528</v>
      </c>
      <c r="F251" s="42" t="n">
        <v>2022</v>
      </c>
      <c r="G251" s="42" t="s">
        <v>32</v>
      </c>
      <c r="H251" s="42" t="s">
        <v>1529</v>
      </c>
      <c r="I251" s="42" t="s">
        <v>409</v>
      </c>
      <c r="J251" s="42" t="s">
        <v>25</v>
      </c>
      <c r="K251" s="42" t="n">
        <v>4</v>
      </c>
      <c r="L251" s="42" t="n">
        <v>0.8</v>
      </c>
      <c r="M251" s="42" t="s">
        <v>3741</v>
      </c>
      <c r="N251" s="42"/>
      <c r="O251" s="41"/>
      <c r="P251" s="41"/>
      <c r="Q251" s="41"/>
    </row>
    <row r="252" customFormat="false" ht="39" hidden="false" customHeight="true" outlineLevel="0" collapsed="false">
      <c r="A252" s="42" t="n">
        <v>248</v>
      </c>
      <c r="B252" s="42" t="s">
        <v>3796</v>
      </c>
      <c r="C252" s="42" t="s">
        <v>3992</v>
      </c>
      <c r="D252" s="42" t="s">
        <v>1643</v>
      </c>
      <c r="E252" s="42" t="s">
        <v>1644</v>
      </c>
      <c r="F252" s="42" t="n">
        <v>2022</v>
      </c>
      <c r="G252" s="42" t="s">
        <v>1422</v>
      </c>
      <c r="H252" s="42" t="s">
        <v>1645</v>
      </c>
      <c r="I252" s="42" t="s">
        <v>409</v>
      </c>
      <c r="J252" s="42" t="s">
        <v>25</v>
      </c>
      <c r="K252" s="42" t="n">
        <v>4</v>
      </c>
      <c r="L252" s="42" t="n">
        <v>0.8</v>
      </c>
      <c r="M252" s="42" t="s">
        <v>3741</v>
      </c>
      <c r="N252" s="42"/>
      <c r="O252" s="41"/>
      <c r="P252" s="41"/>
      <c r="Q252" s="41"/>
    </row>
    <row r="253" customFormat="false" ht="51.75" hidden="false" customHeight="true" outlineLevel="0" collapsed="false">
      <c r="A253" s="42" t="n">
        <v>249</v>
      </c>
      <c r="B253" s="42" t="s">
        <v>3796</v>
      </c>
      <c r="C253" s="42" t="s">
        <v>3993</v>
      </c>
      <c r="D253" s="42" t="s">
        <v>1203</v>
      </c>
      <c r="E253" s="42" t="s">
        <v>1204</v>
      </c>
      <c r="F253" s="42" t="n">
        <v>2023</v>
      </c>
      <c r="G253" s="42" t="s">
        <v>254</v>
      </c>
      <c r="H253" s="42" t="s">
        <v>1205</v>
      </c>
      <c r="I253" s="42" t="s">
        <v>3743</v>
      </c>
      <c r="J253" s="42" t="s">
        <v>25</v>
      </c>
      <c r="K253" s="42" t="n">
        <v>3</v>
      </c>
      <c r="L253" s="42" t="n">
        <v>0.75</v>
      </c>
      <c r="M253" s="42" t="s">
        <v>3741</v>
      </c>
      <c r="N253" s="42"/>
      <c r="O253" s="41"/>
      <c r="P253" s="41"/>
      <c r="Q253" s="41"/>
    </row>
    <row r="254" customFormat="false" ht="51.75" hidden="false" customHeight="true" outlineLevel="0" collapsed="false">
      <c r="A254" s="42" t="n">
        <v>250</v>
      </c>
      <c r="B254" s="42" t="s">
        <v>3796</v>
      </c>
      <c r="C254" s="42" t="s">
        <v>3994</v>
      </c>
      <c r="D254" s="42" t="s">
        <v>341</v>
      </c>
      <c r="E254" s="42" t="s">
        <v>340</v>
      </c>
      <c r="F254" s="42" t="n">
        <v>2023</v>
      </c>
      <c r="G254" s="42" t="s">
        <v>342</v>
      </c>
      <c r="H254" s="42" t="s">
        <v>343</v>
      </c>
      <c r="I254" s="42" t="s">
        <v>409</v>
      </c>
      <c r="J254" s="42" t="s">
        <v>25</v>
      </c>
      <c r="K254" s="42" t="n">
        <v>3</v>
      </c>
      <c r="L254" s="42" t="n">
        <v>0.75</v>
      </c>
      <c r="M254" s="42" t="s">
        <v>3741</v>
      </c>
      <c r="N254" s="42"/>
      <c r="O254" s="41"/>
      <c r="P254" s="41"/>
      <c r="Q254" s="41"/>
    </row>
    <row r="255" customFormat="false" ht="39" hidden="false" customHeight="true" outlineLevel="0" collapsed="false">
      <c r="A255" s="42" t="n">
        <v>251</v>
      </c>
      <c r="B255" s="42" t="s">
        <v>3796</v>
      </c>
      <c r="C255" s="42" t="s">
        <v>3995</v>
      </c>
      <c r="D255" s="42" t="s">
        <v>1357</v>
      </c>
      <c r="E255" s="42" t="s">
        <v>1358</v>
      </c>
      <c r="F255" s="42" t="n">
        <v>2023</v>
      </c>
      <c r="G255" s="42" t="s">
        <v>1359</v>
      </c>
      <c r="H255" s="42" t="s">
        <v>1360</v>
      </c>
      <c r="I255" s="42" t="s">
        <v>3743</v>
      </c>
      <c r="J255" s="42" t="s">
        <v>25</v>
      </c>
      <c r="K255" s="42" t="n">
        <v>3</v>
      </c>
      <c r="L255" s="42" t="n">
        <v>0.75</v>
      </c>
      <c r="M255" s="42" t="s">
        <v>3741</v>
      </c>
      <c r="N255" s="42"/>
      <c r="O255" s="41"/>
      <c r="P255" s="41"/>
      <c r="Q255" s="41"/>
    </row>
    <row r="256" customFormat="false" ht="51.75" hidden="false" customHeight="true" outlineLevel="0" collapsed="false">
      <c r="A256" s="42" t="n">
        <v>252</v>
      </c>
      <c r="B256" s="42" t="s">
        <v>3796</v>
      </c>
      <c r="C256" s="42" t="s">
        <v>3996</v>
      </c>
      <c r="D256" s="42" t="s">
        <v>1377</v>
      </c>
      <c r="E256" s="42" t="s">
        <v>1378</v>
      </c>
      <c r="F256" s="42" t="n">
        <v>2023</v>
      </c>
      <c r="G256" s="42" t="s">
        <v>107</v>
      </c>
      <c r="H256" s="42" t="s">
        <v>1379</v>
      </c>
      <c r="I256" s="42" t="s">
        <v>409</v>
      </c>
      <c r="J256" s="42" t="s">
        <v>25</v>
      </c>
      <c r="K256" s="42" t="n">
        <v>3</v>
      </c>
      <c r="L256" s="42" t="n">
        <v>0.75</v>
      </c>
      <c r="M256" s="42" t="s">
        <v>3741</v>
      </c>
      <c r="N256" s="42"/>
      <c r="O256" s="41"/>
      <c r="P256" s="41"/>
      <c r="Q256" s="41"/>
    </row>
    <row r="257" customFormat="false" ht="64.5" hidden="false" customHeight="true" outlineLevel="0" collapsed="false">
      <c r="A257" s="42" t="n">
        <v>253</v>
      </c>
      <c r="B257" s="42" t="s">
        <v>3796</v>
      </c>
      <c r="C257" s="42" t="s">
        <v>3997</v>
      </c>
      <c r="D257" s="42" t="s">
        <v>1403</v>
      </c>
      <c r="E257" s="42" t="s">
        <v>1404</v>
      </c>
      <c r="F257" s="42" t="n">
        <v>2023</v>
      </c>
      <c r="G257" s="42" t="s">
        <v>1405</v>
      </c>
      <c r="H257" s="42" t="s">
        <v>1406</v>
      </c>
      <c r="I257" s="42" t="s">
        <v>3743</v>
      </c>
      <c r="J257" s="42" t="s">
        <v>25</v>
      </c>
      <c r="K257" s="42" t="n">
        <v>3</v>
      </c>
      <c r="L257" s="42" t="n">
        <v>0.75</v>
      </c>
      <c r="M257" s="42" t="s">
        <v>3741</v>
      </c>
      <c r="N257" s="42"/>
      <c r="O257" s="41"/>
      <c r="P257" s="41"/>
      <c r="Q257" s="41"/>
    </row>
    <row r="258" customFormat="false" ht="39" hidden="false" customHeight="true" outlineLevel="0" collapsed="false">
      <c r="A258" s="42" t="n">
        <v>254</v>
      </c>
      <c r="B258" s="42" t="s">
        <v>3796</v>
      </c>
      <c r="C258" s="42" t="s">
        <v>3998</v>
      </c>
      <c r="D258" s="42" t="s">
        <v>1869</v>
      </c>
      <c r="E258" s="42" t="s">
        <v>2062</v>
      </c>
      <c r="F258" s="42" t="n">
        <v>2019</v>
      </c>
      <c r="G258" s="42" t="s">
        <v>107</v>
      </c>
      <c r="H258" s="42" t="s">
        <v>2063</v>
      </c>
      <c r="I258" s="42" t="s">
        <v>409</v>
      </c>
      <c r="J258" s="42" t="s">
        <v>25</v>
      </c>
      <c r="K258" s="42" t="n">
        <v>6</v>
      </c>
      <c r="L258" s="42" t="n">
        <v>0.75</v>
      </c>
      <c r="M258" s="42" t="s">
        <v>3741</v>
      </c>
      <c r="N258" s="42"/>
      <c r="O258" s="41"/>
      <c r="P258" s="41"/>
      <c r="Q258" s="41"/>
    </row>
    <row r="259" customFormat="false" ht="51.75" hidden="false" customHeight="true" outlineLevel="0" collapsed="false">
      <c r="A259" s="42" t="n">
        <v>255</v>
      </c>
      <c r="B259" s="42" t="s">
        <v>3796</v>
      </c>
      <c r="C259" s="42" t="s">
        <v>3999</v>
      </c>
      <c r="D259" s="42" t="s">
        <v>2100</v>
      </c>
      <c r="E259" s="42" t="s">
        <v>2101</v>
      </c>
      <c r="F259" s="42" t="n">
        <v>2019</v>
      </c>
      <c r="G259" s="42" t="s">
        <v>2102</v>
      </c>
      <c r="H259" s="42"/>
      <c r="I259" s="42" t="s">
        <v>3743</v>
      </c>
      <c r="J259" s="42" t="s">
        <v>25</v>
      </c>
      <c r="K259" s="42" t="n">
        <v>6</v>
      </c>
      <c r="L259" s="42" t="n">
        <v>0.75</v>
      </c>
      <c r="M259" s="42" t="s">
        <v>3741</v>
      </c>
      <c r="N259" s="42"/>
      <c r="O259" s="41"/>
      <c r="P259" s="41"/>
      <c r="Q259" s="41"/>
    </row>
    <row r="260" customFormat="false" ht="51.75" hidden="false" customHeight="true" outlineLevel="0" collapsed="false">
      <c r="A260" s="42" t="n">
        <v>256</v>
      </c>
      <c r="B260" s="42" t="s">
        <v>3796</v>
      </c>
      <c r="C260" s="42" t="s">
        <v>4000</v>
      </c>
      <c r="D260" s="42" t="s">
        <v>2143</v>
      </c>
      <c r="E260" s="42" t="s">
        <v>2144</v>
      </c>
      <c r="F260" s="42" t="n">
        <v>2019</v>
      </c>
      <c r="G260" s="42" t="s">
        <v>107</v>
      </c>
      <c r="H260" s="42" t="s">
        <v>2145</v>
      </c>
      <c r="I260" s="42" t="s">
        <v>409</v>
      </c>
      <c r="J260" s="42" t="s">
        <v>25</v>
      </c>
      <c r="K260" s="42" t="n">
        <v>6</v>
      </c>
      <c r="L260" s="42" t="n">
        <v>0.75</v>
      </c>
      <c r="M260" s="42" t="s">
        <v>3741</v>
      </c>
      <c r="N260" s="42"/>
      <c r="O260" s="41"/>
      <c r="P260" s="41"/>
      <c r="Q260" s="41"/>
    </row>
    <row r="261" customFormat="false" ht="39" hidden="false" customHeight="true" outlineLevel="0" collapsed="false">
      <c r="A261" s="42" t="n">
        <v>257</v>
      </c>
      <c r="B261" s="42" t="s">
        <v>3796</v>
      </c>
      <c r="C261" s="42" t="s">
        <v>4001</v>
      </c>
      <c r="D261" s="42" t="s">
        <v>3578</v>
      </c>
      <c r="E261" s="42" t="s">
        <v>3579</v>
      </c>
      <c r="F261" s="42" t="n">
        <v>2023</v>
      </c>
      <c r="G261" s="42" t="s">
        <v>3580</v>
      </c>
      <c r="H261" s="42" t="s">
        <v>3581</v>
      </c>
      <c r="I261" s="42" t="s">
        <v>3795</v>
      </c>
      <c r="J261" s="42" t="s">
        <v>25</v>
      </c>
      <c r="K261" s="42" t="n">
        <v>3</v>
      </c>
      <c r="L261" s="42" t="n">
        <v>0.75</v>
      </c>
      <c r="M261" s="42" t="s">
        <v>3741</v>
      </c>
      <c r="N261" s="42"/>
      <c r="O261" s="41"/>
      <c r="P261" s="41"/>
      <c r="Q261" s="41"/>
    </row>
    <row r="262" customFormat="false" ht="51.75" hidden="false" customHeight="true" outlineLevel="0" collapsed="false">
      <c r="A262" s="42" t="n">
        <v>258</v>
      </c>
      <c r="B262" s="42" t="s">
        <v>3796</v>
      </c>
      <c r="C262" s="42" t="s">
        <v>4002</v>
      </c>
      <c r="D262" s="42" t="s">
        <v>3645</v>
      </c>
      <c r="E262" s="42" t="s">
        <v>3646</v>
      </c>
      <c r="F262" s="42" t="n">
        <v>2023</v>
      </c>
      <c r="G262" s="42" t="s">
        <v>3519</v>
      </c>
      <c r="H262" s="42" t="s">
        <v>3647</v>
      </c>
      <c r="I262" s="42" t="s">
        <v>3795</v>
      </c>
      <c r="J262" s="42" t="s">
        <v>25</v>
      </c>
      <c r="K262" s="42" t="n">
        <v>3</v>
      </c>
      <c r="L262" s="42" t="n">
        <v>0.75</v>
      </c>
      <c r="M262" s="42" t="s">
        <v>3741</v>
      </c>
      <c r="N262" s="42"/>
      <c r="O262" s="41"/>
      <c r="P262" s="41"/>
      <c r="Q262" s="41"/>
    </row>
    <row r="263" customFormat="false" ht="51.75" hidden="false" customHeight="true" outlineLevel="0" collapsed="false">
      <c r="A263" s="42" t="n">
        <v>259</v>
      </c>
      <c r="B263" s="42" t="s">
        <v>3796</v>
      </c>
      <c r="C263" s="42" t="s">
        <v>4003</v>
      </c>
      <c r="D263" s="42" t="s">
        <v>1916</v>
      </c>
      <c r="E263" s="42" t="s">
        <v>1917</v>
      </c>
      <c r="F263" s="42" t="n">
        <v>2020</v>
      </c>
      <c r="G263" s="42" t="s">
        <v>32</v>
      </c>
      <c r="H263" s="42" t="s">
        <v>1918</v>
      </c>
      <c r="I263" s="42" t="s">
        <v>409</v>
      </c>
      <c r="J263" s="42" t="s">
        <v>25</v>
      </c>
      <c r="K263" s="42" t="n">
        <v>5</v>
      </c>
      <c r="L263" s="42" t="n">
        <v>0.71</v>
      </c>
      <c r="M263" s="42" t="s">
        <v>3741</v>
      </c>
      <c r="N263" s="42"/>
      <c r="O263" s="41"/>
      <c r="P263" s="41"/>
      <c r="Q263" s="41"/>
    </row>
    <row r="264" customFormat="false" ht="64.5" hidden="false" customHeight="true" outlineLevel="0" collapsed="false">
      <c r="A264" s="42" t="n">
        <v>260</v>
      </c>
      <c r="B264" s="42" t="s">
        <v>3796</v>
      </c>
      <c r="C264" s="42" t="s">
        <v>4004</v>
      </c>
      <c r="D264" s="42" t="s">
        <v>2522</v>
      </c>
      <c r="E264" s="42" t="s">
        <v>2523</v>
      </c>
      <c r="F264" s="42" t="n">
        <v>2017</v>
      </c>
      <c r="G264" s="42" t="s">
        <v>107</v>
      </c>
      <c r="H264" s="42" t="s">
        <v>2524</v>
      </c>
      <c r="I264" s="42" t="s">
        <v>409</v>
      </c>
      <c r="J264" s="42" t="s">
        <v>25</v>
      </c>
      <c r="K264" s="42" t="n">
        <v>7</v>
      </c>
      <c r="L264" s="42" t="n">
        <v>0.7</v>
      </c>
      <c r="M264" s="42" t="s">
        <v>3741</v>
      </c>
      <c r="N264" s="42"/>
      <c r="O264" s="41"/>
      <c r="P264" s="41"/>
      <c r="Q264" s="41"/>
    </row>
    <row r="265" customFormat="false" ht="51.75" hidden="false" customHeight="true" outlineLevel="0" collapsed="false">
      <c r="A265" s="42" t="n">
        <v>261</v>
      </c>
      <c r="B265" s="42" t="s">
        <v>3796</v>
      </c>
      <c r="C265" s="42" t="s">
        <v>4005</v>
      </c>
      <c r="D265" s="42" t="s">
        <v>961</v>
      </c>
      <c r="E265" s="42" t="s">
        <v>962</v>
      </c>
      <c r="F265" s="42" t="n">
        <v>2024</v>
      </c>
      <c r="G265" s="42" t="s">
        <v>963</v>
      </c>
      <c r="H265" s="42" t="s">
        <v>964</v>
      </c>
      <c r="I265" s="42" t="s">
        <v>409</v>
      </c>
      <c r="J265" s="42" t="s">
        <v>25</v>
      </c>
      <c r="K265" s="42" t="n">
        <v>2</v>
      </c>
      <c r="L265" s="42" t="n">
        <v>0.67</v>
      </c>
      <c r="M265" s="42" t="s">
        <v>3741</v>
      </c>
      <c r="N265" s="42"/>
      <c r="O265" s="41"/>
      <c r="P265" s="41"/>
      <c r="Q265" s="41"/>
    </row>
    <row r="266" customFormat="false" ht="39" hidden="false" customHeight="true" outlineLevel="0" collapsed="false">
      <c r="A266" s="42" t="n">
        <v>262</v>
      </c>
      <c r="B266" s="42" t="s">
        <v>3796</v>
      </c>
      <c r="C266" s="42" t="s">
        <v>4006</v>
      </c>
      <c r="D266" s="42" t="s">
        <v>990</v>
      </c>
      <c r="E266" s="42" t="s">
        <v>991</v>
      </c>
      <c r="F266" s="42" t="n">
        <v>2024</v>
      </c>
      <c r="G266" s="42" t="s">
        <v>138</v>
      </c>
      <c r="H266" s="42" t="s">
        <v>992</v>
      </c>
      <c r="I266" s="42" t="s">
        <v>409</v>
      </c>
      <c r="J266" s="42" t="s">
        <v>25</v>
      </c>
      <c r="K266" s="42" t="n">
        <v>2</v>
      </c>
      <c r="L266" s="42" t="n">
        <v>0.67</v>
      </c>
      <c r="M266" s="42" t="s">
        <v>3741</v>
      </c>
      <c r="N266" s="42"/>
      <c r="O266" s="41"/>
      <c r="P266" s="41"/>
      <c r="Q266" s="41"/>
    </row>
    <row r="267" customFormat="false" ht="103.5" hidden="false" customHeight="true" outlineLevel="0" collapsed="false">
      <c r="A267" s="42" t="n">
        <v>263</v>
      </c>
      <c r="B267" s="42" t="s">
        <v>3796</v>
      </c>
      <c r="C267" s="42" t="s">
        <v>4007</v>
      </c>
      <c r="D267" s="42" t="s">
        <v>1637</v>
      </c>
      <c r="E267" s="42" t="s">
        <v>1829</v>
      </c>
      <c r="F267" s="42" t="n">
        <v>2021</v>
      </c>
      <c r="G267" s="42" t="s">
        <v>1830</v>
      </c>
      <c r="H267" s="42" t="s">
        <v>1831</v>
      </c>
      <c r="I267" s="42" t="s">
        <v>409</v>
      </c>
      <c r="J267" s="42" t="s">
        <v>25</v>
      </c>
      <c r="K267" s="42" t="n">
        <v>4</v>
      </c>
      <c r="L267" s="42" t="n">
        <v>0.67</v>
      </c>
      <c r="M267" s="42" t="s">
        <v>3741</v>
      </c>
      <c r="N267" s="42"/>
      <c r="O267" s="41"/>
      <c r="P267" s="41"/>
      <c r="Q267" s="41"/>
    </row>
    <row r="268" customFormat="false" ht="64.5" hidden="false" customHeight="true" outlineLevel="0" collapsed="false">
      <c r="A268" s="42" t="n">
        <v>264</v>
      </c>
      <c r="B268" s="42" t="s">
        <v>3796</v>
      </c>
      <c r="C268" s="42" t="s">
        <v>4008</v>
      </c>
      <c r="D268" s="42" t="s">
        <v>2252</v>
      </c>
      <c r="E268" s="42" t="s">
        <v>2253</v>
      </c>
      <c r="F268" s="42" t="n">
        <v>2018</v>
      </c>
      <c r="G268" s="42" t="s">
        <v>2254</v>
      </c>
      <c r="H268" s="42" t="s">
        <v>2255</v>
      </c>
      <c r="I268" s="42" t="s">
        <v>409</v>
      </c>
      <c r="J268" s="42" t="s">
        <v>25</v>
      </c>
      <c r="K268" s="42" t="n">
        <v>6</v>
      </c>
      <c r="L268" s="42" t="n">
        <v>0.67</v>
      </c>
      <c r="M268" s="42" t="s">
        <v>3741</v>
      </c>
      <c r="N268" s="42"/>
      <c r="O268" s="41"/>
      <c r="P268" s="41"/>
      <c r="Q268" s="41"/>
    </row>
    <row r="269" customFormat="false" ht="51.75" hidden="false" customHeight="true" outlineLevel="0" collapsed="false">
      <c r="A269" s="42" t="n">
        <v>265</v>
      </c>
      <c r="B269" s="42" t="s">
        <v>3796</v>
      </c>
      <c r="C269" s="42" t="s">
        <v>4009</v>
      </c>
      <c r="D269" s="42" t="s">
        <v>1473</v>
      </c>
      <c r="E269" s="42" t="s">
        <v>1474</v>
      </c>
      <c r="F269" s="42" t="n">
        <v>2022</v>
      </c>
      <c r="G269" s="42" t="s">
        <v>1475</v>
      </c>
      <c r="H269" s="42" t="s">
        <v>1476</v>
      </c>
      <c r="I269" s="42" t="s">
        <v>409</v>
      </c>
      <c r="J269" s="42" t="s">
        <v>25</v>
      </c>
      <c r="K269" s="42" t="n">
        <v>3</v>
      </c>
      <c r="L269" s="42" t="n">
        <v>0.6</v>
      </c>
      <c r="M269" s="42" t="s">
        <v>3741</v>
      </c>
      <c r="N269" s="42"/>
      <c r="O269" s="41"/>
      <c r="P269" s="41"/>
      <c r="Q269" s="41"/>
    </row>
    <row r="270" customFormat="false" ht="64.5" hidden="false" customHeight="true" outlineLevel="0" collapsed="false">
      <c r="A270" s="42" t="n">
        <v>266</v>
      </c>
      <c r="B270" s="42" t="s">
        <v>3796</v>
      </c>
      <c r="C270" s="42" t="s">
        <v>4010</v>
      </c>
      <c r="D270" s="42" t="s">
        <v>2464</v>
      </c>
      <c r="E270" s="42" t="s">
        <v>2465</v>
      </c>
      <c r="F270" s="42" t="n">
        <v>2017</v>
      </c>
      <c r="G270" s="42" t="s">
        <v>107</v>
      </c>
      <c r="H270" s="42" t="s">
        <v>2466</v>
      </c>
      <c r="I270" s="42" t="s">
        <v>409</v>
      </c>
      <c r="J270" s="42" t="s">
        <v>25</v>
      </c>
      <c r="K270" s="42" t="n">
        <v>6</v>
      </c>
      <c r="L270" s="42" t="n">
        <v>0.6</v>
      </c>
      <c r="M270" s="42" t="s">
        <v>3741</v>
      </c>
      <c r="N270" s="42"/>
      <c r="O270" s="41"/>
      <c r="P270" s="41"/>
      <c r="Q270" s="41"/>
    </row>
    <row r="271" customFormat="false" ht="39" hidden="false" customHeight="true" outlineLevel="0" collapsed="false">
      <c r="A271" s="42" t="n">
        <v>267</v>
      </c>
      <c r="B271" s="42" t="s">
        <v>3796</v>
      </c>
      <c r="C271" s="42" t="s">
        <v>4011</v>
      </c>
      <c r="D271" s="42" t="s">
        <v>2547</v>
      </c>
      <c r="E271" s="42" t="s">
        <v>2548</v>
      </c>
      <c r="F271" s="42" t="n">
        <v>2017</v>
      </c>
      <c r="G271" s="42" t="s">
        <v>288</v>
      </c>
      <c r="H271" s="42"/>
      <c r="I271" s="42" t="s">
        <v>409</v>
      </c>
      <c r="J271" s="42" t="s">
        <v>25</v>
      </c>
      <c r="K271" s="42" t="n">
        <v>6</v>
      </c>
      <c r="L271" s="42" t="n">
        <v>0.6</v>
      </c>
      <c r="M271" s="42" t="s">
        <v>3741</v>
      </c>
      <c r="N271" s="42"/>
      <c r="O271" s="41"/>
      <c r="P271" s="41"/>
      <c r="Q271" s="41"/>
    </row>
    <row r="272" customFormat="false" ht="25.5" hidden="false" customHeight="true" outlineLevel="0" collapsed="false">
      <c r="A272" s="42" t="n">
        <v>268</v>
      </c>
      <c r="B272" s="42" t="s">
        <v>3796</v>
      </c>
      <c r="C272" s="42" t="s">
        <v>4012</v>
      </c>
      <c r="D272" s="42" t="s">
        <v>1900</v>
      </c>
      <c r="E272" s="42" t="s">
        <v>1901</v>
      </c>
      <c r="F272" s="42" t="n">
        <v>2020</v>
      </c>
      <c r="G272" s="42" t="s">
        <v>1859</v>
      </c>
      <c r="H272" s="42"/>
      <c r="I272" s="42" t="s">
        <v>409</v>
      </c>
      <c r="J272" s="42" t="s">
        <v>25</v>
      </c>
      <c r="K272" s="42" t="n">
        <v>4</v>
      </c>
      <c r="L272" s="42" t="n">
        <v>0.57</v>
      </c>
      <c r="M272" s="42" t="s">
        <v>3741</v>
      </c>
      <c r="N272" s="42"/>
      <c r="O272" s="41"/>
      <c r="P272" s="41"/>
      <c r="Q272" s="41"/>
    </row>
    <row r="273" customFormat="false" ht="39" hidden="false" customHeight="true" outlineLevel="0" collapsed="false">
      <c r="A273" s="42" t="n">
        <v>269</v>
      </c>
      <c r="B273" s="42" t="s">
        <v>3796</v>
      </c>
      <c r="C273" s="42" t="s">
        <v>4013</v>
      </c>
      <c r="D273" s="42" t="s">
        <v>2012</v>
      </c>
      <c r="E273" s="42" t="s">
        <v>2013</v>
      </c>
      <c r="F273" s="42" t="n">
        <v>2020</v>
      </c>
      <c r="G273" s="42" t="s">
        <v>2014</v>
      </c>
      <c r="H273" s="42"/>
      <c r="I273" s="42" t="s">
        <v>409</v>
      </c>
      <c r="J273" s="42" t="s">
        <v>25</v>
      </c>
      <c r="K273" s="42" t="n">
        <v>4</v>
      </c>
      <c r="L273" s="42" t="n">
        <v>0.57</v>
      </c>
      <c r="M273" s="42" t="s">
        <v>3741</v>
      </c>
      <c r="N273" s="42"/>
      <c r="O273" s="41"/>
      <c r="P273" s="41"/>
      <c r="Q273" s="41"/>
    </row>
    <row r="274" customFormat="false" ht="51.75" hidden="false" customHeight="true" outlineLevel="0" collapsed="false">
      <c r="A274" s="42" t="n">
        <v>270</v>
      </c>
      <c r="B274" s="42" t="s">
        <v>3796</v>
      </c>
      <c r="C274" s="42" t="s">
        <v>4014</v>
      </c>
      <c r="D274" s="42" t="s">
        <v>2236</v>
      </c>
      <c r="E274" s="42" t="s">
        <v>2237</v>
      </c>
      <c r="F274" s="42" t="n">
        <v>2018</v>
      </c>
      <c r="G274" s="42" t="s">
        <v>2232</v>
      </c>
      <c r="H274" s="42" t="s">
        <v>2238</v>
      </c>
      <c r="I274" s="42" t="s">
        <v>409</v>
      </c>
      <c r="J274" s="42" t="s">
        <v>25</v>
      </c>
      <c r="K274" s="42" t="n">
        <v>5</v>
      </c>
      <c r="L274" s="42" t="n">
        <v>0.56</v>
      </c>
      <c r="M274" s="42" t="s">
        <v>3741</v>
      </c>
      <c r="N274" s="42"/>
      <c r="O274" s="41"/>
      <c r="P274" s="41"/>
      <c r="Q274" s="41"/>
    </row>
    <row r="275" customFormat="false" ht="39" hidden="false" customHeight="true" outlineLevel="0" collapsed="false">
      <c r="A275" s="42" t="n">
        <v>271</v>
      </c>
      <c r="B275" s="42" t="s">
        <v>3796</v>
      </c>
      <c r="C275" s="42" t="s">
        <v>4015</v>
      </c>
      <c r="D275" s="42" t="s">
        <v>2296</v>
      </c>
      <c r="E275" s="42" t="s">
        <v>2297</v>
      </c>
      <c r="F275" s="42" t="n">
        <v>2018</v>
      </c>
      <c r="G275" s="42" t="s">
        <v>2232</v>
      </c>
      <c r="H275" s="42" t="s">
        <v>2298</v>
      </c>
      <c r="I275" s="42" t="s">
        <v>409</v>
      </c>
      <c r="J275" s="42" t="s">
        <v>25</v>
      </c>
      <c r="K275" s="42" t="n">
        <v>5</v>
      </c>
      <c r="L275" s="42" t="n">
        <v>0.56</v>
      </c>
      <c r="M275" s="42" t="s">
        <v>3741</v>
      </c>
      <c r="N275" s="42"/>
      <c r="O275" s="41"/>
      <c r="P275" s="41"/>
      <c r="Q275" s="41"/>
    </row>
    <row r="276" customFormat="false" ht="64.5" hidden="false" customHeight="true" outlineLevel="0" collapsed="false">
      <c r="A276" s="42" t="n">
        <v>272</v>
      </c>
      <c r="B276" s="42" t="s">
        <v>3796</v>
      </c>
      <c r="C276" s="42" t="s">
        <v>4016</v>
      </c>
      <c r="D276" s="42" t="s">
        <v>752</v>
      </c>
      <c r="E276" s="42" t="s">
        <v>753</v>
      </c>
      <c r="F276" s="42" t="n">
        <v>2025</v>
      </c>
      <c r="G276" s="42" t="s">
        <v>107</v>
      </c>
      <c r="H276" s="42" t="s">
        <v>754</v>
      </c>
      <c r="I276" s="42" t="s">
        <v>409</v>
      </c>
      <c r="J276" s="42" t="s">
        <v>25</v>
      </c>
      <c r="K276" s="42" t="n">
        <v>1</v>
      </c>
      <c r="L276" s="42" t="n">
        <v>0.5</v>
      </c>
      <c r="M276" s="42" t="s">
        <v>3741</v>
      </c>
      <c r="N276" s="42"/>
      <c r="O276" s="41"/>
      <c r="P276" s="41"/>
      <c r="Q276" s="41"/>
    </row>
    <row r="277" customFormat="false" ht="39" hidden="false" customHeight="true" outlineLevel="0" collapsed="false">
      <c r="A277" s="42" t="n">
        <v>273</v>
      </c>
      <c r="B277" s="42" t="s">
        <v>3796</v>
      </c>
      <c r="C277" s="42" t="s">
        <v>4017</v>
      </c>
      <c r="D277" s="42" t="s">
        <v>840</v>
      </c>
      <c r="E277" s="42" t="s">
        <v>841</v>
      </c>
      <c r="F277" s="42" t="n">
        <v>2025</v>
      </c>
      <c r="G277" s="42" t="s">
        <v>215</v>
      </c>
      <c r="H277" s="42" t="s">
        <v>842</v>
      </c>
      <c r="I277" s="42" t="s">
        <v>409</v>
      </c>
      <c r="J277" s="42" t="s">
        <v>25</v>
      </c>
      <c r="K277" s="42" t="n">
        <v>1</v>
      </c>
      <c r="L277" s="42" t="n">
        <v>0.5</v>
      </c>
      <c r="M277" s="42" t="s">
        <v>3741</v>
      </c>
      <c r="N277" s="42"/>
      <c r="O277" s="41"/>
      <c r="P277" s="41"/>
      <c r="Q277" s="41"/>
    </row>
    <row r="278" customFormat="false" ht="64.5" hidden="false" customHeight="true" outlineLevel="0" collapsed="false">
      <c r="A278" s="42" t="n">
        <v>274</v>
      </c>
      <c r="B278" s="42" t="s">
        <v>3796</v>
      </c>
      <c r="C278" s="42" t="s">
        <v>4018</v>
      </c>
      <c r="D278" s="42" t="s">
        <v>245</v>
      </c>
      <c r="E278" s="42" t="s">
        <v>244</v>
      </c>
      <c r="F278" s="42" t="n">
        <v>2025</v>
      </c>
      <c r="G278" s="42" t="s">
        <v>246</v>
      </c>
      <c r="H278" s="42" t="s">
        <v>247</v>
      </c>
      <c r="I278" s="42" t="s">
        <v>409</v>
      </c>
      <c r="J278" s="42" t="s">
        <v>25</v>
      </c>
      <c r="K278" s="42" t="n">
        <v>1</v>
      </c>
      <c r="L278" s="42" t="n">
        <v>0.5</v>
      </c>
      <c r="M278" s="42" t="s">
        <v>3741</v>
      </c>
      <c r="N278" s="42"/>
      <c r="O278" s="41"/>
      <c r="P278" s="41"/>
      <c r="Q278" s="41"/>
    </row>
    <row r="279" customFormat="false" ht="51.75" hidden="false" customHeight="true" outlineLevel="0" collapsed="false">
      <c r="A279" s="42" t="n">
        <v>275</v>
      </c>
      <c r="B279" s="42" t="s">
        <v>3796</v>
      </c>
      <c r="C279" s="42" t="s">
        <v>4019</v>
      </c>
      <c r="D279" s="42" t="s">
        <v>863</v>
      </c>
      <c r="E279" s="42" t="s">
        <v>864</v>
      </c>
      <c r="F279" s="42" t="n">
        <v>2025</v>
      </c>
      <c r="G279" s="42" t="s">
        <v>865</v>
      </c>
      <c r="H279" s="42" t="s">
        <v>866</v>
      </c>
      <c r="I279" s="42" t="s">
        <v>3743</v>
      </c>
      <c r="J279" s="42" t="s">
        <v>25</v>
      </c>
      <c r="K279" s="42" t="n">
        <v>1</v>
      </c>
      <c r="L279" s="42" t="n">
        <v>0.5</v>
      </c>
      <c r="M279" s="42" t="s">
        <v>3741</v>
      </c>
      <c r="N279" s="42"/>
      <c r="O279" s="41"/>
      <c r="P279" s="41"/>
      <c r="Q279" s="41"/>
    </row>
    <row r="280" customFormat="false" ht="39" hidden="false" customHeight="true" outlineLevel="0" collapsed="false">
      <c r="A280" s="42" t="n">
        <v>276</v>
      </c>
      <c r="B280" s="42" t="s">
        <v>3796</v>
      </c>
      <c r="C280" s="42" t="s">
        <v>4020</v>
      </c>
      <c r="D280" s="42" t="s">
        <v>249</v>
      </c>
      <c r="E280" s="42" t="s">
        <v>248</v>
      </c>
      <c r="F280" s="42" t="n">
        <v>2025</v>
      </c>
      <c r="G280" s="42" t="s">
        <v>250</v>
      </c>
      <c r="H280" s="42" t="s">
        <v>251</v>
      </c>
      <c r="I280" s="42" t="s">
        <v>409</v>
      </c>
      <c r="J280" s="42" t="s">
        <v>25</v>
      </c>
      <c r="K280" s="42" t="n">
        <v>1</v>
      </c>
      <c r="L280" s="42" t="n">
        <v>0.5</v>
      </c>
      <c r="M280" s="42" t="s">
        <v>3741</v>
      </c>
      <c r="N280" s="42"/>
      <c r="O280" s="41"/>
      <c r="P280" s="41"/>
      <c r="Q280" s="41"/>
    </row>
    <row r="281" customFormat="false" ht="25.5" hidden="false" customHeight="true" outlineLevel="0" collapsed="false">
      <c r="A281" s="42" t="n">
        <v>277</v>
      </c>
      <c r="B281" s="42" t="s">
        <v>3796</v>
      </c>
      <c r="C281" s="42" t="s">
        <v>4021</v>
      </c>
      <c r="D281" s="42" t="s">
        <v>895</v>
      </c>
      <c r="E281" s="42" t="s">
        <v>896</v>
      </c>
      <c r="F281" s="42" t="n">
        <v>2025</v>
      </c>
      <c r="G281" s="42" t="s">
        <v>107</v>
      </c>
      <c r="H281" s="42" t="s">
        <v>897</v>
      </c>
      <c r="I281" s="42" t="s">
        <v>409</v>
      </c>
      <c r="J281" s="42" t="s">
        <v>25</v>
      </c>
      <c r="K281" s="42" t="n">
        <v>1</v>
      </c>
      <c r="L281" s="42" t="n">
        <v>0.5</v>
      </c>
      <c r="M281" s="42" t="s">
        <v>3741</v>
      </c>
      <c r="N281" s="42"/>
      <c r="O281" s="41"/>
      <c r="P281" s="41"/>
      <c r="Q281" s="41"/>
    </row>
    <row r="282" customFormat="false" ht="64.5" hidden="false" customHeight="true" outlineLevel="0" collapsed="false">
      <c r="A282" s="42" t="n">
        <v>278</v>
      </c>
      <c r="B282" s="42" t="s">
        <v>3796</v>
      </c>
      <c r="C282" s="42" t="s">
        <v>4022</v>
      </c>
      <c r="D282" s="42" t="s">
        <v>900</v>
      </c>
      <c r="E282" s="42" t="s">
        <v>901</v>
      </c>
      <c r="F282" s="42" t="n">
        <v>2025</v>
      </c>
      <c r="G282" s="42" t="s">
        <v>902</v>
      </c>
      <c r="H282" s="42" t="s">
        <v>903</v>
      </c>
      <c r="I282" s="42" t="s">
        <v>3743</v>
      </c>
      <c r="J282" s="42" t="s">
        <v>25</v>
      </c>
      <c r="K282" s="42" t="n">
        <v>1</v>
      </c>
      <c r="L282" s="42" t="n">
        <v>0.5</v>
      </c>
      <c r="M282" s="42" t="s">
        <v>3741</v>
      </c>
      <c r="N282" s="42"/>
      <c r="O282" s="41"/>
      <c r="P282" s="41"/>
      <c r="Q282" s="41"/>
    </row>
    <row r="283" customFormat="false" ht="39" hidden="false" customHeight="true" outlineLevel="0" collapsed="false">
      <c r="A283" s="42" t="n">
        <v>279</v>
      </c>
      <c r="B283" s="42" t="s">
        <v>3796</v>
      </c>
      <c r="C283" s="42" t="s">
        <v>4023</v>
      </c>
      <c r="D283" s="42" t="s">
        <v>2961</v>
      </c>
      <c r="E283" s="42" t="s">
        <v>2962</v>
      </c>
      <c r="F283" s="42" t="n">
        <v>2025</v>
      </c>
      <c r="G283" s="42" t="s">
        <v>2826</v>
      </c>
      <c r="H283" s="42" t="s">
        <v>2963</v>
      </c>
      <c r="I283" s="42" t="s">
        <v>3740</v>
      </c>
      <c r="J283" s="42" t="s">
        <v>25</v>
      </c>
      <c r="K283" s="42" t="n">
        <v>1</v>
      </c>
      <c r="L283" s="42" t="n">
        <v>0.5</v>
      </c>
      <c r="M283" s="42" t="s">
        <v>3741</v>
      </c>
      <c r="N283" s="42"/>
      <c r="O283" s="41"/>
      <c r="P283" s="41"/>
      <c r="Q283" s="41"/>
    </row>
    <row r="284" customFormat="false" ht="64.5" hidden="false" customHeight="true" outlineLevel="0" collapsed="false">
      <c r="A284" s="42" t="n">
        <v>280</v>
      </c>
      <c r="B284" s="42" t="s">
        <v>3796</v>
      </c>
      <c r="C284" s="42" t="s">
        <v>4024</v>
      </c>
      <c r="D284" s="42" t="s">
        <v>1264</v>
      </c>
      <c r="E284" s="42" t="s">
        <v>1265</v>
      </c>
      <c r="F284" s="42" t="n">
        <v>2023</v>
      </c>
      <c r="G284" s="42" t="s">
        <v>1266</v>
      </c>
      <c r="H284" s="42" t="s">
        <v>1267</v>
      </c>
      <c r="I284" s="42" t="s">
        <v>3743</v>
      </c>
      <c r="J284" s="42" t="s">
        <v>25</v>
      </c>
      <c r="K284" s="42" t="n">
        <v>2</v>
      </c>
      <c r="L284" s="42" t="n">
        <v>0.5</v>
      </c>
      <c r="M284" s="42" t="s">
        <v>3741</v>
      </c>
      <c r="N284" s="42"/>
      <c r="O284" s="41"/>
      <c r="P284" s="41"/>
      <c r="Q284" s="41"/>
    </row>
    <row r="285" customFormat="false" ht="39" hidden="false" customHeight="true" outlineLevel="0" collapsed="false">
      <c r="A285" s="42" t="n">
        <v>281</v>
      </c>
      <c r="B285" s="42" t="s">
        <v>3796</v>
      </c>
      <c r="C285" s="42" t="s">
        <v>4025</v>
      </c>
      <c r="D285" s="42" t="s">
        <v>1286</v>
      </c>
      <c r="E285" s="42" t="s">
        <v>1287</v>
      </c>
      <c r="F285" s="42" t="n">
        <v>2023</v>
      </c>
      <c r="G285" s="42" t="s">
        <v>130</v>
      </c>
      <c r="H285" s="42" t="s">
        <v>1288</v>
      </c>
      <c r="I285" s="42" t="s">
        <v>3743</v>
      </c>
      <c r="J285" s="42" t="s">
        <v>25</v>
      </c>
      <c r="K285" s="42" t="n">
        <v>2</v>
      </c>
      <c r="L285" s="42" t="n">
        <v>0.5</v>
      </c>
      <c r="M285" s="42" t="s">
        <v>3741</v>
      </c>
      <c r="N285" s="42"/>
      <c r="O285" s="41"/>
      <c r="P285" s="41"/>
      <c r="Q285" s="41"/>
    </row>
    <row r="286" customFormat="false" ht="51.75" hidden="false" customHeight="true" outlineLevel="0" collapsed="false">
      <c r="A286" s="42" t="n">
        <v>282</v>
      </c>
      <c r="B286" s="42" t="s">
        <v>3796</v>
      </c>
      <c r="C286" s="42" t="s">
        <v>4026</v>
      </c>
      <c r="D286" s="42" t="s">
        <v>1291</v>
      </c>
      <c r="E286" s="42" t="s">
        <v>1292</v>
      </c>
      <c r="F286" s="42" t="n">
        <v>2023</v>
      </c>
      <c r="G286" s="42" t="s">
        <v>107</v>
      </c>
      <c r="H286" s="42" t="s">
        <v>1293</v>
      </c>
      <c r="I286" s="42" t="s">
        <v>409</v>
      </c>
      <c r="J286" s="42" t="s">
        <v>25</v>
      </c>
      <c r="K286" s="42" t="n">
        <v>2</v>
      </c>
      <c r="L286" s="42" t="n">
        <v>0.5</v>
      </c>
      <c r="M286" s="42" t="s">
        <v>3741</v>
      </c>
      <c r="N286" s="42"/>
      <c r="O286" s="41"/>
      <c r="P286" s="41"/>
      <c r="Q286" s="41"/>
    </row>
    <row r="287" customFormat="false" ht="39" hidden="false" customHeight="true" outlineLevel="0" collapsed="false">
      <c r="A287" s="42" t="n">
        <v>283</v>
      </c>
      <c r="B287" s="42" t="s">
        <v>3796</v>
      </c>
      <c r="C287" s="42" t="s">
        <v>4027</v>
      </c>
      <c r="D287" s="42" t="s">
        <v>253</v>
      </c>
      <c r="E287" s="42" t="s">
        <v>252</v>
      </c>
      <c r="F287" s="42" t="n">
        <v>2023</v>
      </c>
      <c r="G287" s="42" t="s">
        <v>254</v>
      </c>
      <c r="H287" s="42" t="s">
        <v>255</v>
      </c>
      <c r="I287" s="42" t="s">
        <v>3743</v>
      </c>
      <c r="J287" s="42" t="s">
        <v>25</v>
      </c>
      <c r="K287" s="42" t="n">
        <v>2</v>
      </c>
      <c r="L287" s="42" t="n">
        <v>0.5</v>
      </c>
      <c r="M287" s="42" t="s">
        <v>3741</v>
      </c>
      <c r="N287" s="42"/>
      <c r="O287" s="41"/>
      <c r="P287" s="41"/>
      <c r="Q287" s="41"/>
    </row>
    <row r="288" customFormat="false" ht="64.5" hidden="false" customHeight="true" outlineLevel="0" collapsed="false">
      <c r="A288" s="42" t="n">
        <v>284</v>
      </c>
      <c r="B288" s="42" t="s">
        <v>3796</v>
      </c>
      <c r="C288" s="42" t="s">
        <v>4028</v>
      </c>
      <c r="D288" s="42" t="s">
        <v>1363</v>
      </c>
      <c r="E288" s="42" t="s">
        <v>1364</v>
      </c>
      <c r="F288" s="42" t="n">
        <v>2023</v>
      </c>
      <c r="G288" s="42" t="s">
        <v>1365</v>
      </c>
      <c r="H288" s="42" t="s">
        <v>1366</v>
      </c>
      <c r="I288" s="42" t="s">
        <v>409</v>
      </c>
      <c r="J288" s="42" t="s">
        <v>25</v>
      </c>
      <c r="K288" s="42" t="n">
        <v>2</v>
      </c>
      <c r="L288" s="42" t="n">
        <v>0.5</v>
      </c>
      <c r="M288" s="42" t="s">
        <v>3741</v>
      </c>
      <c r="N288" s="42"/>
      <c r="O288" s="41"/>
      <c r="P288" s="41"/>
      <c r="Q288" s="41"/>
    </row>
    <row r="289" customFormat="false" ht="51.75" hidden="false" customHeight="true" outlineLevel="0" collapsed="false">
      <c r="A289" s="42" t="n">
        <v>285</v>
      </c>
      <c r="B289" s="42" t="s">
        <v>3796</v>
      </c>
      <c r="C289" s="42" t="s">
        <v>4029</v>
      </c>
      <c r="D289" s="42" t="s">
        <v>1653</v>
      </c>
      <c r="E289" s="42" t="s">
        <v>1654</v>
      </c>
      <c r="F289" s="42" t="n">
        <v>2021</v>
      </c>
      <c r="G289" s="42" t="s">
        <v>107</v>
      </c>
      <c r="H289" s="42" t="s">
        <v>1655</v>
      </c>
      <c r="I289" s="42" t="s">
        <v>409</v>
      </c>
      <c r="J289" s="42" t="s">
        <v>25</v>
      </c>
      <c r="K289" s="42" t="n">
        <v>3</v>
      </c>
      <c r="L289" s="42" t="n">
        <v>0.5</v>
      </c>
      <c r="M289" s="42" t="s">
        <v>3741</v>
      </c>
      <c r="N289" s="42"/>
      <c r="O289" s="41"/>
      <c r="P289" s="41"/>
      <c r="Q289" s="41"/>
    </row>
    <row r="290" customFormat="false" ht="39" hidden="false" customHeight="true" outlineLevel="0" collapsed="false">
      <c r="A290" s="42" t="n">
        <v>286</v>
      </c>
      <c r="B290" s="42" t="s">
        <v>3796</v>
      </c>
      <c r="C290" s="42" t="s">
        <v>4030</v>
      </c>
      <c r="D290" s="42" t="s">
        <v>113</v>
      </c>
      <c r="E290" s="42" t="s">
        <v>112</v>
      </c>
      <c r="F290" s="42" t="n">
        <v>2021</v>
      </c>
      <c r="G290" s="42" t="s">
        <v>107</v>
      </c>
      <c r="H290" s="42" t="s">
        <v>114</v>
      </c>
      <c r="I290" s="42" t="s">
        <v>409</v>
      </c>
      <c r="J290" s="42" t="s">
        <v>25</v>
      </c>
      <c r="K290" s="42" t="n">
        <v>3</v>
      </c>
      <c r="L290" s="42" t="n">
        <v>0.5</v>
      </c>
      <c r="M290" s="42" t="s">
        <v>3741</v>
      </c>
      <c r="N290" s="42"/>
      <c r="O290" s="41"/>
      <c r="P290" s="41"/>
      <c r="Q290" s="41"/>
    </row>
    <row r="291" customFormat="false" ht="51.75" hidden="false" customHeight="true" outlineLevel="0" collapsed="false">
      <c r="A291" s="42" t="n">
        <v>287</v>
      </c>
      <c r="B291" s="42" t="s">
        <v>3796</v>
      </c>
      <c r="C291" s="42" t="s">
        <v>4031</v>
      </c>
      <c r="D291" s="42" t="s">
        <v>1762</v>
      </c>
      <c r="E291" s="42" t="s">
        <v>1763</v>
      </c>
      <c r="F291" s="42" t="n">
        <v>2021</v>
      </c>
      <c r="G291" s="42" t="s">
        <v>1764</v>
      </c>
      <c r="H291" s="42" t="s">
        <v>1765</v>
      </c>
      <c r="I291" s="42" t="s">
        <v>409</v>
      </c>
      <c r="J291" s="42" t="s">
        <v>25</v>
      </c>
      <c r="K291" s="42" t="n">
        <v>3</v>
      </c>
      <c r="L291" s="42" t="n">
        <v>0.5</v>
      </c>
      <c r="M291" s="42" t="s">
        <v>3741</v>
      </c>
      <c r="N291" s="42"/>
      <c r="O291" s="41"/>
      <c r="P291" s="41"/>
      <c r="Q291" s="41"/>
    </row>
    <row r="292" customFormat="false" ht="39" hidden="false" customHeight="true" outlineLevel="0" collapsed="false">
      <c r="A292" s="42" t="n">
        <v>288</v>
      </c>
      <c r="B292" s="42" t="s">
        <v>3796</v>
      </c>
      <c r="C292" s="42" t="s">
        <v>4032</v>
      </c>
      <c r="D292" s="42" t="s">
        <v>110</v>
      </c>
      <c r="E292" s="42" t="s">
        <v>109</v>
      </c>
      <c r="F292" s="42" t="n">
        <v>2021</v>
      </c>
      <c r="G292" s="42" t="s">
        <v>107</v>
      </c>
      <c r="H292" s="42" t="s">
        <v>111</v>
      </c>
      <c r="I292" s="42" t="s">
        <v>409</v>
      </c>
      <c r="J292" s="42" t="s">
        <v>25</v>
      </c>
      <c r="K292" s="42" t="n">
        <v>3</v>
      </c>
      <c r="L292" s="42" t="n">
        <v>0.5</v>
      </c>
      <c r="M292" s="42" t="s">
        <v>3741</v>
      </c>
      <c r="N292" s="42"/>
      <c r="O292" s="41"/>
      <c r="P292" s="41"/>
      <c r="Q292" s="41"/>
    </row>
    <row r="293" customFormat="false" ht="78" hidden="false" customHeight="true" outlineLevel="0" collapsed="false">
      <c r="A293" s="42" t="n">
        <v>289</v>
      </c>
      <c r="B293" s="42" t="s">
        <v>3796</v>
      </c>
      <c r="C293" s="42" t="s">
        <v>4033</v>
      </c>
      <c r="D293" s="42" t="s">
        <v>1783</v>
      </c>
      <c r="E293" s="42" t="s">
        <v>1784</v>
      </c>
      <c r="F293" s="42" t="n">
        <v>2021</v>
      </c>
      <c r="G293" s="42" t="s">
        <v>107</v>
      </c>
      <c r="H293" s="42" t="s">
        <v>1785</v>
      </c>
      <c r="I293" s="42" t="s">
        <v>409</v>
      </c>
      <c r="J293" s="42" t="s">
        <v>25</v>
      </c>
      <c r="K293" s="42" t="n">
        <v>3</v>
      </c>
      <c r="L293" s="42" t="n">
        <v>0.5</v>
      </c>
      <c r="M293" s="42" t="s">
        <v>3741</v>
      </c>
      <c r="N293" s="42"/>
      <c r="O293" s="41"/>
      <c r="P293" s="41"/>
      <c r="Q293" s="41"/>
    </row>
    <row r="294" customFormat="false" ht="51.75" hidden="false" customHeight="true" outlineLevel="0" collapsed="false">
      <c r="A294" s="42" t="n">
        <v>290</v>
      </c>
      <c r="B294" s="42" t="s">
        <v>3796</v>
      </c>
      <c r="C294" s="42" t="s">
        <v>4034</v>
      </c>
      <c r="D294" s="42" t="s">
        <v>2174</v>
      </c>
      <c r="E294" s="42" t="s">
        <v>2175</v>
      </c>
      <c r="F294" s="42" t="n">
        <v>2019</v>
      </c>
      <c r="G294" s="42" t="s">
        <v>2133</v>
      </c>
      <c r="H294" s="42" t="s">
        <v>2176</v>
      </c>
      <c r="I294" s="42" t="s">
        <v>409</v>
      </c>
      <c r="J294" s="42" t="s">
        <v>25</v>
      </c>
      <c r="K294" s="42" t="n">
        <v>4</v>
      </c>
      <c r="L294" s="42" t="n">
        <v>0.5</v>
      </c>
      <c r="M294" s="42" t="s">
        <v>3741</v>
      </c>
      <c r="N294" s="42"/>
      <c r="O294" s="41"/>
      <c r="P294" s="41"/>
      <c r="Q294" s="41"/>
    </row>
    <row r="295" customFormat="false" ht="78" hidden="false" customHeight="true" outlineLevel="0" collapsed="false">
      <c r="A295" s="42" t="n">
        <v>291</v>
      </c>
      <c r="B295" s="42" t="s">
        <v>3796</v>
      </c>
      <c r="C295" s="42" t="s">
        <v>4035</v>
      </c>
      <c r="D295" s="42" t="s">
        <v>295</v>
      </c>
      <c r="E295" s="42" t="s">
        <v>294</v>
      </c>
      <c r="F295" s="42" t="n">
        <v>2019</v>
      </c>
      <c r="G295" s="42" t="s">
        <v>296</v>
      </c>
      <c r="H295" s="42" t="s">
        <v>297</v>
      </c>
      <c r="I295" s="42" t="s">
        <v>3740</v>
      </c>
      <c r="J295" s="42" t="s">
        <v>25</v>
      </c>
      <c r="K295" s="42" t="n">
        <v>4</v>
      </c>
      <c r="L295" s="42" t="n">
        <v>0.5</v>
      </c>
      <c r="M295" s="42" t="s">
        <v>3741</v>
      </c>
      <c r="N295" s="42"/>
      <c r="O295" s="41"/>
      <c r="P295" s="41"/>
      <c r="Q295" s="41"/>
    </row>
    <row r="296" customFormat="false" ht="51.75" hidden="false" customHeight="true" outlineLevel="0" collapsed="false">
      <c r="A296" s="42" t="n">
        <v>292</v>
      </c>
      <c r="B296" s="42" t="s">
        <v>3796</v>
      </c>
      <c r="C296" s="42" t="s">
        <v>4036</v>
      </c>
      <c r="D296" s="42" t="s">
        <v>116</v>
      </c>
      <c r="E296" s="42" t="s">
        <v>115</v>
      </c>
      <c r="F296" s="42" t="n">
        <v>2017</v>
      </c>
      <c r="G296" s="42" t="s">
        <v>117</v>
      </c>
      <c r="H296" s="42" t="s">
        <v>118</v>
      </c>
      <c r="I296" s="42" t="s">
        <v>409</v>
      </c>
      <c r="J296" s="42" t="s">
        <v>25</v>
      </c>
      <c r="K296" s="42" t="n">
        <v>5</v>
      </c>
      <c r="L296" s="42" t="n">
        <v>0.5</v>
      </c>
      <c r="M296" s="42" t="s">
        <v>3741</v>
      </c>
      <c r="N296" s="42"/>
      <c r="O296" s="41"/>
      <c r="P296" s="41"/>
      <c r="Q296" s="41"/>
    </row>
    <row r="297" customFormat="false" ht="51.75" hidden="false" customHeight="true" outlineLevel="0" collapsed="false">
      <c r="A297" s="42" t="n">
        <v>293</v>
      </c>
      <c r="B297" s="42" t="s">
        <v>3796</v>
      </c>
      <c r="C297" s="42" t="s">
        <v>4037</v>
      </c>
      <c r="D297" s="42" t="s">
        <v>2527</v>
      </c>
      <c r="E297" s="42" t="s">
        <v>2528</v>
      </c>
      <c r="F297" s="42" t="n">
        <v>2017</v>
      </c>
      <c r="G297" s="42" t="s">
        <v>117</v>
      </c>
      <c r="H297" s="42" t="s">
        <v>2529</v>
      </c>
      <c r="I297" s="42" t="s">
        <v>409</v>
      </c>
      <c r="J297" s="42" t="s">
        <v>25</v>
      </c>
      <c r="K297" s="42" t="n">
        <v>5</v>
      </c>
      <c r="L297" s="42" t="n">
        <v>0.5</v>
      </c>
      <c r="M297" s="42" t="s">
        <v>3741</v>
      </c>
      <c r="N297" s="42"/>
      <c r="O297" s="41"/>
      <c r="P297" s="41"/>
      <c r="Q297" s="41"/>
    </row>
    <row r="298" customFormat="false" ht="39" hidden="false" customHeight="true" outlineLevel="0" collapsed="false">
      <c r="A298" s="42" t="n">
        <v>294</v>
      </c>
      <c r="B298" s="42" t="s">
        <v>3796</v>
      </c>
      <c r="C298" s="42" t="s">
        <v>4038</v>
      </c>
      <c r="D298" s="42" t="s">
        <v>106</v>
      </c>
      <c r="E298" s="42" t="s">
        <v>105</v>
      </c>
      <c r="F298" s="42" t="n">
        <v>2017</v>
      </c>
      <c r="G298" s="42" t="s">
        <v>107</v>
      </c>
      <c r="H298" s="42" t="s">
        <v>108</v>
      </c>
      <c r="I298" s="42" t="s">
        <v>409</v>
      </c>
      <c r="J298" s="42" t="s">
        <v>25</v>
      </c>
      <c r="K298" s="42" t="n">
        <v>5</v>
      </c>
      <c r="L298" s="42" t="n">
        <v>0.5</v>
      </c>
      <c r="M298" s="42" t="s">
        <v>3741</v>
      </c>
      <c r="N298" s="42"/>
      <c r="O298" s="41"/>
      <c r="P298" s="41"/>
      <c r="Q298" s="41"/>
    </row>
    <row r="299" customFormat="false" ht="25.5" hidden="false" customHeight="true" outlineLevel="0" collapsed="false">
      <c r="A299" s="42" t="n">
        <v>295</v>
      </c>
      <c r="B299" s="42" t="s">
        <v>3796</v>
      </c>
      <c r="C299" s="42" t="s">
        <v>4039</v>
      </c>
      <c r="D299" s="42" t="s">
        <v>3461</v>
      </c>
      <c r="E299" s="42" t="s">
        <v>3462</v>
      </c>
      <c r="F299" s="42" t="n">
        <v>2025</v>
      </c>
      <c r="G299" s="42" t="s">
        <v>3463</v>
      </c>
      <c r="H299" s="42" t="s">
        <v>3464</v>
      </c>
      <c r="I299" s="42" t="s">
        <v>3795</v>
      </c>
      <c r="J299" s="42" t="s">
        <v>25</v>
      </c>
      <c r="K299" s="42" t="n">
        <v>1</v>
      </c>
      <c r="L299" s="42" t="n">
        <v>0.5</v>
      </c>
      <c r="M299" s="42" t="s">
        <v>3741</v>
      </c>
      <c r="N299" s="42"/>
      <c r="O299" s="41"/>
      <c r="P299" s="41"/>
      <c r="Q299" s="41"/>
    </row>
    <row r="300" customFormat="false" ht="25.5" hidden="false" customHeight="true" outlineLevel="0" collapsed="false">
      <c r="A300" s="42" t="n">
        <v>296</v>
      </c>
      <c r="B300" s="42" t="s">
        <v>3796</v>
      </c>
      <c r="C300" s="42" t="s">
        <v>4040</v>
      </c>
      <c r="D300" s="42" t="s">
        <v>3474</v>
      </c>
      <c r="E300" s="42" t="s">
        <v>3475</v>
      </c>
      <c r="F300" s="42" t="n">
        <v>2025</v>
      </c>
      <c r="G300" s="42" t="s">
        <v>3476</v>
      </c>
      <c r="H300" s="42" t="s">
        <v>3477</v>
      </c>
      <c r="I300" s="42" t="s">
        <v>3795</v>
      </c>
      <c r="J300" s="42" t="s">
        <v>25</v>
      </c>
      <c r="K300" s="42" t="n">
        <v>1</v>
      </c>
      <c r="L300" s="42" t="n">
        <v>0.5</v>
      </c>
      <c r="M300" s="42" t="s">
        <v>3741</v>
      </c>
      <c r="N300" s="42"/>
      <c r="O300" s="41"/>
      <c r="P300" s="41"/>
      <c r="Q300" s="41"/>
    </row>
    <row r="301" customFormat="false" ht="25.5" hidden="false" customHeight="true" outlineLevel="0" collapsed="false">
      <c r="A301" s="42" t="n">
        <v>297</v>
      </c>
      <c r="B301" s="42" t="s">
        <v>3796</v>
      </c>
      <c r="C301" s="42" t="s">
        <v>4041</v>
      </c>
      <c r="D301" s="42" t="s">
        <v>120</v>
      </c>
      <c r="E301" s="42" t="s">
        <v>119</v>
      </c>
      <c r="F301" s="42" t="n">
        <v>2016</v>
      </c>
      <c r="G301" s="42" t="s">
        <v>103</v>
      </c>
      <c r="H301" s="42"/>
      <c r="I301" s="42" t="s">
        <v>409</v>
      </c>
      <c r="J301" s="42" t="s">
        <v>25</v>
      </c>
      <c r="K301" s="42" t="n">
        <v>5</v>
      </c>
      <c r="L301" s="42" t="n">
        <v>0.45</v>
      </c>
      <c r="M301" s="42" t="s">
        <v>3741</v>
      </c>
      <c r="N301" s="42"/>
      <c r="O301" s="41"/>
      <c r="P301" s="41"/>
      <c r="Q301" s="41"/>
    </row>
    <row r="302" customFormat="false" ht="64.5" hidden="false" customHeight="true" outlineLevel="0" collapsed="false">
      <c r="A302" s="42" t="n">
        <v>298</v>
      </c>
      <c r="B302" s="42" t="s">
        <v>3796</v>
      </c>
      <c r="C302" s="42" t="s">
        <v>4042</v>
      </c>
      <c r="D302" s="42" t="s">
        <v>2636</v>
      </c>
      <c r="E302" s="42" t="s">
        <v>2637</v>
      </c>
      <c r="F302" s="42" t="n">
        <v>2016</v>
      </c>
      <c r="G302" s="42" t="s">
        <v>2638</v>
      </c>
      <c r="H302" s="42" t="s">
        <v>2639</v>
      </c>
      <c r="I302" s="42" t="s">
        <v>409</v>
      </c>
      <c r="J302" s="42" t="s">
        <v>25</v>
      </c>
      <c r="K302" s="42" t="n">
        <v>5</v>
      </c>
      <c r="L302" s="42" t="n">
        <v>0.45</v>
      </c>
      <c r="M302" s="42" t="s">
        <v>3741</v>
      </c>
      <c r="N302" s="42"/>
      <c r="O302" s="41"/>
      <c r="P302" s="41"/>
      <c r="Q302" s="41"/>
    </row>
    <row r="303" customFormat="false" ht="39" hidden="false" customHeight="true" outlineLevel="0" collapsed="false">
      <c r="A303" s="42" t="n">
        <v>299</v>
      </c>
      <c r="B303" s="42" t="s">
        <v>3796</v>
      </c>
      <c r="C303" s="42" t="s">
        <v>4043</v>
      </c>
      <c r="D303" s="42" t="s">
        <v>1939</v>
      </c>
      <c r="E303" s="42" t="s">
        <v>1940</v>
      </c>
      <c r="F303" s="42" t="n">
        <v>2020</v>
      </c>
      <c r="G303" s="42" t="s">
        <v>1859</v>
      </c>
      <c r="H303" s="42"/>
      <c r="I303" s="42" t="s">
        <v>409</v>
      </c>
      <c r="J303" s="42" t="s">
        <v>25</v>
      </c>
      <c r="K303" s="42" t="n">
        <v>3</v>
      </c>
      <c r="L303" s="42" t="n">
        <v>0.43</v>
      </c>
      <c r="M303" s="42" t="s">
        <v>3741</v>
      </c>
      <c r="N303" s="42"/>
      <c r="O303" s="41"/>
      <c r="P303" s="41"/>
      <c r="Q303" s="41"/>
    </row>
    <row r="304" customFormat="false" ht="39" hidden="false" customHeight="true" outlineLevel="0" collapsed="false">
      <c r="A304" s="42" t="n">
        <v>300</v>
      </c>
      <c r="B304" s="42" t="s">
        <v>3796</v>
      </c>
      <c r="C304" s="42" t="s">
        <v>4044</v>
      </c>
      <c r="D304" s="42" t="s">
        <v>1955</v>
      </c>
      <c r="E304" s="42" t="s">
        <v>1956</v>
      </c>
      <c r="F304" s="42" t="n">
        <v>2020</v>
      </c>
      <c r="G304" s="42" t="s">
        <v>1957</v>
      </c>
      <c r="H304" s="42" t="s">
        <v>1958</v>
      </c>
      <c r="I304" s="42" t="s">
        <v>3743</v>
      </c>
      <c r="J304" s="42" t="s">
        <v>25</v>
      </c>
      <c r="K304" s="42" t="n">
        <v>3</v>
      </c>
      <c r="L304" s="42" t="n">
        <v>0.43</v>
      </c>
      <c r="M304" s="42" t="s">
        <v>3741</v>
      </c>
      <c r="N304" s="42"/>
      <c r="O304" s="41"/>
      <c r="P304" s="41"/>
      <c r="Q304" s="41"/>
    </row>
    <row r="305" customFormat="false" ht="39" hidden="false" customHeight="true" outlineLevel="0" collapsed="false">
      <c r="A305" s="42" t="n">
        <v>301</v>
      </c>
      <c r="B305" s="42" t="s">
        <v>3796</v>
      </c>
      <c r="C305" s="42" t="s">
        <v>4045</v>
      </c>
      <c r="D305" s="42" t="s">
        <v>1426</v>
      </c>
      <c r="E305" s="42" t="s">
        <v>1427</v>
      </c>
      <c r="F305" s="42" t="n">
        <v>2022</v>
      </c>
      <c r="G305" s="42" t="s">
        <v>1428</v>
      </c>
      <c r="H305" s="42" t="s">
        <v>1429</v>
      </c>
      <c r="I305" s="42" t="s">
        <v>409</v>
      </c>
      <c r="J305" s="42" t="s">
        <v>25</v>
      </c>
      <c r="K305" s="42" t="n">
        <v>2</v>
      </c>
      <c r="L305" s="42" t="n">
        <v>0.4</v>
      </c>
      <c r="M305" s="42" t="s">
        <v>3741</v>
      </c>
      <c r="N305" s="42"/>
      <c r="O305" s="41"/>
      <c r="P305" s="41"/>
      <c r="Q305" s="41"/>
    </row>
    <row r="306" customFormat="false" ht="39" hidden="false" customHeight="true" outlineLevel="0" collapsed="false">
      <c r="A306" s="42" t="n">
        <v>302</v>
      </c>
      <c r="B306" s="42" t="s">
        <v>3796</v>
      </c>
      <c r="C306" s="42" t="s">
        <v>4046</v>
      </c>
      <c r="D306" s="42" t="s">
        <v>1461</v>
      </c>
      <c r="E306" s="42" t="s">
        <v>1462</v>
      </c>
      <c r="F306" s="42" t="n">
        <v>2022</v>
      </c>
      <c r="G306" s="42" t="s">
        <v>300</v>
      </c>
      <c r="H306" s="42" t="s">
        <v>1463</v>
      </c>
      <c r="I306" s="42" t="s">
        <v>409</v>
      </c>
      <c r="J306" s="42" t="s">
        <v>25</v>
      </c>
      <c r="K306" s="42" t="n">
        <v>2</v>
      </c>
      <c r="L306" s="42" t="n">
        <v>0.4</v>
      </c>
      <c r="M306" s="42" t="s">
        <v>3741</v>
      </c>
      <c r="N306" s="42"/>
      <c r="O306" s="41"/>
      <c r="P306" s="41"/>
      <c r="Q306" s="41"/>
    </row>
    <row r="307" customFormat="false" ht="39" hidden="false" customHeight="true" outlineLevel="0" collapsed="false">
      <c r="A307" s="42" t="n">
        <v>303</v>
      </c>
      <c r="B307" s="42" t="s">
        <v>3796</v>
      </c>
      <c r="C307" s="42" t="s">
        <v>4047</v>
      </c>
      <c r="D307" s="42" t="s">
        <v>1479</v>
      </c>
      <c r="E307" s="42" t="s">
        <v>1480</v>
      </c>
      <c r="F307" s="42" t="n">
        <v>2022</v>
      </c>
      <c r="G307" s="42" t="s">
        <v>1481</v>
      </c>
      <c r="H307" s="42" t="s">
        <v>1482</v>
      </c>
      <c r="I307" s="42" t="s">
        <v>409</v>
      </c>
      <c r="J307" s="42" t="s">
        <v>25</v>
      </c>
      <c r="K307" s="42" t="n">
        <v>2</v>
      </c>
      <c r="L307" s="42" t="n">
        <v>0.4</v>
      </c>
      <c r="M307" s="42" t="s">
        <v>3741</v>
      </c>
      <c r="N307" s="42"/>
      <c r="O307" s="41"/>
      <c r="P307" s="41"/>
      <c r="Q307" s="41"/>
    </row>
    <row r="308" customFormat="false" ht="39" hidden="false" customHeight="true" outlineLevel="0" collapsed="false">
      <c r="A308" s="42" t="n">
        <v>304</v>
      </c>
      <c r="B308" s="42" t="s">
        <v>3796</v>
      </c>
      <c r="C308" s="42" t="s">
        <v>4048</v>
      </c>
      <c r="D308" s="42" t="s">
        <v>1537</v>
      </c>
      <c r="E308" s="42" t="s">
        <v>1538</v>
      </c>
      <c r="F308" s="42" t="n">
        <v>2022</v>
      </c>
      <c r="G308" s="42" t="s">
        <v>1422</v>
      </c>
      <c r="H308" s="42" t="s">
        <v>1539</v>
      </c>
      <c r="I308" s="42" t="s">
        <v>409</v>
      </c>
      <c r="J308" s="42" t="s">
        <v>25</v>
      </c>
      <c r="K308" s="42" t="n">
        <v>2</v>
      </c>
      <c r="L308" s="42" t="n">
        <v>0.4</v>
      </c>
      <c r="M308" s="42" t="s">
        <v>3741</v>
      </c>
      <c r="N308" s="42"/>
      <c r="O308" s="41"/>
      <c r="P308" s="41"/>
      <c r="Q308" s="41"/>
    </row>
    <row r="309" customFormat="false" ht="51.75" hidden="false" customHeight="true" outlineLevel="0" collapsed="false">
      <c r="A309" s="42" t="n">
        <v>305</v>
      </c>
      <c r="B309" s="42" t="s">
        <v>3796</v>
      </c>
      <c r="C309" s="42" t="s">
        <v>4049</v>
      </c>
      <c r="D309" s="42" t="s">
        <v>2087</v>
      </c>
      <c r="E309" s="42" t="s">
        <v>2088</v>
      </c>
      <c r="F309" s="42" t="n">
        <v>2019</v>
      </c>
      <c r="G309" s="42" t="s">
        <v>954</v>
      </c>
      <c r="H309" s="42" t="s">
        <v>2089</v>
      </c>
      <c r="I309" s="42" t="s">
        <v>409</v>
      </c>
      <c r="J309" s="42" t="s">
        <v>25</v>
      </c>
      <c r="K309" s="42" t="n">
        <v>3</v>
      </c>
      <c r="L309" s="42" t="n">
        <v>0.38</v>
      </c>
      <c r="M309" s="42" t="s">
        <v>3741</v>
      </c>
      <c r="N309" s="42"/>
      <c r="O309" s="41"/>
      <c r="P309" s="41"/>
      <c r="Q309" s="41"/>
    </row>
    <row r="310" customFormat="false" ht="39" hidden="false" customHeight="true" outlineLevel="0" collapsed="false">
      <c r="A310" s="42" t="n">
        <v>306</v>
      </c>
      <c r="B310" s="42" t="s">
        <v>3796</v>
      </c>
      <c r="C310" s="42" t="s">
        <v>4050</v>
      </c>
      <c r="D310" s="42" t="s">
        <v>2116</v>
      </c>
      <c r="E310" s="42" t="s">
        <v>2117</v>
      </c>
      <c r="F310" s="42" t="n">
        <v>2019</v>
      </c>
      <c r="G310" s="42" t="s">
        <v>2118</v>
      </c>
      <c r="H310" s="42" t="s">
        <v>2119</v>
      </c>
      <c r="I310" s="42" t="s">
        <v>409</v>
      </c>
      <c r="J310" s="42" t="s">
        <v>25</v>
      </c>
      <c r="K310" s="42" t="n">
        <v>3</v>
      </c>
      <c r="L310" s="42" t="n">
        <v>0.38</v>
      </c>
      <c r="M310" s="42" t="s">
        <v>3741</v>
      </c>
      <c r="N310" s="42"/>
      <c r="O310" s="41"/>
      <c r="P310" s="41"/>
      <c r="Q310" s="41"/>
    </row>
    <row r="311" customFormat="false" ht="51.75" hidden="false" customHeight="true" outlineLevel="0" collapsed="false">
      <c r="A311" s="42" t="n">
        <v>307</v>
      </c>
      <c r="B311" s="42" t="s">
        <v>3796</v>
      </c>
      <c r="C311" s="42" t="s">
        <v>4051</v>
      </c>
      <c r="D311" s="42" t="s">
        <v>2214</v>
      </c>
      <c r="E311" s="42" t="s">
        <v>2215</v>
      </c>
      <c r="F311" s="42" t="n">
        <v>2019</v>
      </c>
      <c r="G311" s="42" t="s">
        <v>268</v>
      </c>
      <c r="H311" s="42" t="s">
        <v>2216</v>
      </c>
      <c r="I311" s="42" t="s">
        <v>409</v>
      </c>
      <c r="J311" s="42" t="s">
        <v>25</v>
      </c>
      <c r="K311" s="42" t="n">
        <v>3</v>
      </c>
      <c r="L311" s="42" t="n">
        <v>0.38</v>
      </c>
      <c r="M311" s="42" t="s">
        <v>3741</v>
      </c>
      <c r="N311" s="42"/>
      <c r="O311" s="41"/>
      <c r="P311" s="41"/>
      <c r="Q311" s="41"/>
    </row>
    <row r="312" customFormat="false" ht="39" hidden="false" customHeight="true" outlineLevel="0" collapsed="false">
      <c r="A312" s="42" t="n">
        <v>308</v>
      </c>
      <c r="B312" s="42" t="s">
        <v>3796</v>
      </c>
      <c r="C312" s="42" t="s">
        <v>4052</v>
      </c>
      <c r="D312" s="42" t="s">
        <v>995</v>
      </c>
      <c r="E312" s="42" t="s">
        <v>996</v>
      </c>
      <c r="F312" s="42" t="n">
        <v>2024</v>
      </c>
      <c r="G312" s="42" t="s">
        <v>969</v>
      </c>
      <c r="H312" s="42"/>
      <c r="I312" s="42" t="s">
        <v>409</v>
      </c>
      <c r="J312" s="42" t="s">
        <v>25</v>
      </c>
      <c r="K312" s="42" t="n">
        <v>1</v>
      </c>
      <c r="L312" s="42" t="n">
        <v>0.33</v>
      </c>
      <c r="M312" s="42" t="s">
        <v>3741</v>
      </c>
      <c r="N312" s="42"/>
      <c r="O312" s="41"/>
      <c r="P312" s="41"/>
      <c r="Q312" s="41"/>
    </row>
    <row r="313" customFormat="false" ht="51.75" hidden="false" customHeight="true" outlineLevel="0" collapsed="false">
      <c r="A313" s="42" t="n">
        <v>309</v>
      </c>
      <c r="B313" s="42" t="s">
        <v>3796</v>
      </c>
      <c r="C313" s="42" t="s">
        <v>4053</v>
      </c>
      <c r="D313" s="42" t="s">
        <v>1022</v>
      </c>
      <c r="E313" s="42" t="s">
        <v>1023</v>
      </c>
      <c r="F313" s="42" t="n">
        <v>2024</v>
      </c>
      <c r="G313" s="42" t="s">
        <v>969</v>
      </c>
      <c r="H313" s="42"/>
      <c r="I313" s="42" t="s">
        <v>409</v>
      </c>
      <c r="J313" s="42" t="s">
        <v>25</v>
      </c>
      <c r="K313" s="42" t="n">
        <v>1</v>
      </c>
      <c r="L313" s="42" t="n">
        <v>0.33</v>
      </c>
      <c r="M313" s="42" t="s">
        <v>3741</v>
      </c>
      <c r="N313" s="42"/>
      <c r="O313" s="41"/>
      <c r="P313" s="41"/>
      <c r="Q313" s="41"/>
    </row>
    <row r="314" customFormat="false" ht="51.75" hidden="false" customHeight="true" outlineLevel="0" collapsed="false">
      <c r="A314" s="42" t="n">
        <v>310</v>
      </c>
      <c r="B314" s="42" t="s">
        <v>3796</v>
      </c>
      <c r="C314" s="42" t="s">
        <v>4054</v>
      </c>
      <c r="D314" s="42" t="s">
        <v>122</v>
      </c>
      <c r="E314" s="42" t="s">
        <v>121</v>
      </c>
      <c r="F314" s="42" t="n">
        <v>2024</v>
      </c>
      <c r="G314" s="42" t="s">
        <v>123</v>
      </c>
      <c r="H314" s="42" t="s">
        <v>124</v>
      </c>
      <c r="I314" s="42" t="s">
        <v>409</v>
      </c>
      <c r="J314" s="42" t="s">
        <v>25</v>
      </c>
      <c r="K314" s="42" t="n">
        <v>1</v>
      </c>
      <c r="L314" s="42" t="n">
        <v>0.33</v>
      </c>
      <c r="M314" s="42" t="s">
        <v>3741</v>
      </c>
      <c r="N314" s="42"/>
      <c r="O314" s="41"/>
      <c r="P314" s="41"/>
      <c r="Q314" s="41"/>
    </row>
    <row r="315" customFormat="false" ht="39" hidden="false" customHeight="true" outlineLevel="0" collapsed="false">
      <c r="A315" s="42" t="n">
        <v>311</v>
      </c>
      <c r="B315" s="42" t="s">
        <v>3796</v>
      </c>
      <c r="C315" s="42" t="s">
        <v>4055</v>
      </c>
      <c r="D315" s="42" t="s">
        <v>367</v>
      </c>
      <c r="E315" s="42" t="s">
        <v>366</v>
      </c>
      <c r="F315" s="42" t="n">
        <v>2024</v>
      </c>
      <c r="G315" s="42" t="s">
        <v>368</v>
      </c>
      <c r="H315" s="42" t="s">
        <v>369</v>
      </c>
      <c r="I315" s="42" t="s">
        <v>3767</v>
      </c>
      <c r="J315" s="42" t="s">
        <v>25</v>
      </c>
      <c r="K315" s="42" t="n">
        <v>1</v>
      </c>
      <c r="L315" s="42" t="n">
        <v>0.33</v>
      </c>
      <c r="M315" s="42" t="s">
        <v>3741</v>
      </c>
      <c r="N315" s="42"/>
      <c r="O315" s="41"/>
      <c r="P315" s="41"/>
      <c r="Q315" s="41"/>
    </row>
    <row r="316" customFormat="false" ht="64.5" hidden="false" customHeight="true" outlineLevel="0" collapsed="false">
      <c r="A316" s="42" t="n">
        <v>312</v>
      </c>
      <c r="B316" s="42" t="s">
        <v>3796</v>
      </c>
      <c r="C316" s="42" t="s">
        <v>4056</v>
      </c>
      <c r="D316" s="42" t="s">
        <v>1128</v>
      </c>
      <c r="E316" s="42" t="s">
        <v>1129</v>
      </c>
      <c r="F316" s="42" t="n">
        <v>2024</v>
      </c>
      <c r="G316" s="42" t="s">
        <v>954</v>
      </c>
      <c r="H316" s="42" t="s">
        <v>1130</v>
      </c>
      <c r="I316" s="42" t="s">
        <v>409</v>
      </c>
      <c r="J316" s="42" t="s">
        <v>25</v>
      </c>
      <c r="K316" s="42" t="n">
        <v>1</v>
      </c>
      <c r="L316" s="42" t="n">
        <v>0.33</v>
      </c>
      <c r="M316" s="42" t="s">
        <v>3741</v>
      </c>
      <c r="N316" s="42"/>
      <c r="O316" s="41"/>
      <c r="P316" s="41"/>
      <c r="Q316" s="41"/>
    </row>
    <row r="317" customFormat="false" ht="51.75" hidden="false" customHeight="true" outlineLevel="0" collapsed="false">
      <c r="A317" s="42" t="n">
        <v>313</v>
      </c>
      <c r="B317" s="42" t="s">
        <v>3796</v>
      </c>
      <c r="C317" s="42" t="s">
        <v>4057</v>
      </c>
      <c r="D317" s="42" t="s">
        <v>126</v>
      </c>
      <c r="E317" s="42" t="s">
        <v>125</v>
      </c>
      <c r="F317" s="42" t="n">
        <v>2024</v>
      </c>
      <c r="G317" s="42" t="s">
        <v>123</v>
      </c>
      <c r="H317" s="42" t="s">
        <v>127</v>
      </c>
      <c r="I317" s="42" t="s">
        <v>409</v>
      </c>
      <c r="J317" s="42" t="s">
        <v>25</v>
      </c>
      <c r="K317" s="42" t="n">
        <v>1</v>
      </c>
      <c r="L317" s="42" t="n">
        <v>0.33</v>
      </c>
      <c r="M317" s="42" t="s">
        <v>3741</v>
      </c>
      <c r="N317" s="42"/>
      <c r="O317" s="41"/>
      <c r="P317" s="41"/>
      <c r="Q317" s="41"/>
    </row>
    <row r="318" customFormat="false" ht="64.5" hidden="false" customHeight="true" outlineLevel="0" collapsed="false">
      <c r="A318" s="42" t="n">
        <v>314</v>
      </c>
      <c r="B318" s="42" t="s">
        <v>3796</v>
      </c>
      <c r="C318" s="42" t="s">
        <v>4058</v>
      </c>
      <c r="D318" s="42" t="s">
        <v>1676</v>
      </c>
      <c r="E318" s="42" t="s">
        <v>1677</v>
      </c>
      <c r="F318" s="42" t="n">
        <v>2021</v>
      </c>
      <c r="G318" s="42" t="s">
        <v>107</v>
      </c>
      <c r="H318" s="42" t="s">
        <v>1678</v>
      </c>
      <c r="I318" s="42" t="s">
        <v>409</v>
      </c>
      <c r="J318" s="42" t="s">
        <v>25</v>
      </c>
      <c r="K318" s="42" t="n">
        <v>2</v>
      </c>
      <c r="L318" s="42" t="n">
        <v>0.33</v>
      </c>
      <c r="M318" s="42" t="s">
        <v>3741</v>
      </c>
      <c r="N318" s="42"/>
      <c r="O318" s="41"/>
      <c r="P318" s="41"/>
      <c r="Q318" s="41"/>
    </row>
    <row r="319" customFormat="false" ht="64.5" hidden="false" customHeight="true" outlineLevel="0" collapsed="false">
      <c r="A319" s="42" t="n">
        <v>315</v>
      </c>
      <c r="B319" s="42" t="s">
        <v>3796</v>
      </c>
      <c r="C319" s="42" t="s">
        <v>4059</v>
      </c>
      <c r="D319" s="42" t="s">
        <v>1730</v>
      </c>
      <c r="E319" s="42" t="s">
        <v>1731</v>
      </c>
      <c r="F319" s="42" t="n">
        <v>2021</v>
      </c>
      <c r="G319" s="42" t="s">
        <v>107</v>
      </c>
      <c r="H319" s="42" t="s">
        <v>1732</v>
      </c>
      <c r="I319" s="42" t="s">
        <v>409</v>
      </c>
      <c r="J319" s="42" t="s">
        <v>25</v>
      </c>
      <c r="K319" s="42" t="n">
        <v>2</v>
      </c>
      <c r="L319" s="42" t="n">
        <v>0.33</v>
      </c>
      <c r="M319" s="42" t="s">
        <v>3741</v>
      </c>
      <c r="N319" s="42"/>
      <c r="O319" s="41"/>
      <c r="P319" s="41"/>
      <c r="Q319" s="41"/>
    </row>
    <row r="320" customFormat="false" ht="25.5" hidden="false" customHeight="true" outlineLevel="0" collapsed="false">
      <c r="A320" s="42" t="n">
        <v>316</v>
      </c>
      <c r="B320" s="42" t="s">
        <v>3796</v>
      </c>
      <c r="C320" s="42" t="s">
        <v>4060</v>
      </c>
      <c r="D320" s="42" t="s">
        <v>1834</v>
      </c>
      <c r="E320" s="42" t="s">
        <v>1835</v>
      </c>
      <c r="F320" s="42" t="n">
        <v>2021</v>
      </c>
      <c r="G320" s="42" t="s">
        <v>1836</v>
      </c>
      <c r="H320" s="42" t="s">
        <v>1837</v>
      </c>
      <c r="I320" s="42" t="s">
        <v>409</v>
      </c>
      <c r="J320" s="42" t="s">
        <v>25</v>
      </c>
      <c r="K320" s="42" t="n">
        <v>2</v>
      </c>
      <c r="L320" s="42" t="n">
        <v>0.33</v>
      </c>
      <c r="M320" s="42" t="s">
        <v>3741</v>
      </c>
      <c r="N320" s="42"/>
      <c r="O320" s="41"/>
      <c r="P320" s="41"/>
      <c r="Q320" s="41"/>
    </row>
    <row r="321" customFormat="false" ht="64.5" hidden="false" customHeight="true" outlineLevel="0" collapsed="false">
      <c r="A321" s="42" t="n">
        <v>317</v>
      </c>
      <c r="B321" s="42" t="s">
        <v>3796</v>
      </c>
      <c r="C321" s="42" t="s">
        <v>4061</v>
      </c>
      <c r="D321" s="42" t="s">
        <v>2273</v>
      </c>
      <c r="E321" s="42" t="s">
        <v>2274</v>
      </c>
      <c r="F321" s="42" t="n">
        <v>2018</v>
      </c>
      <c r="G321" s="42" t="s">
        <v>2232</v>
      </c>
      <c r="H321" s="42" t="s">
        <v>2275</v>
      </c>
      <c r="I321" s="42" t="s">
        <v>409</v>
      </c>
      <c r="J321" s="42" t="s">
        <v>25</v>
      </c>
      <c r="K321" s="42" t="n">
        <v>3</v>
      </c>
      <c r="L321" s="42" t="n">
        <v>0.33</v>
      </c>
      <c r="M321" s="42" t="s">
        <v>3741</v>
      </c>
      <c r="N321" s="42"/>
      <c r="O321" s="41"/>
      <c r="P321" s="41"/>
      <c r="Q321" s="41"/>
    </row>
    <row r="322" customFormat="false" ht="39" hidden="false" customHeight="true" outlineLevel="0" collapsed="false">
      <c r="A322" s="42" t="n">
        <v>318</v>
      </c>
      <c r="B322" s="42" t="s">
        <v>3796</v>
      </c>
      <c r="C322" s="42" t="s">
        <v>4062</v>
      </c>
      <c r="D322" s="42" t="s">
        <v>2333</v>
      </c>
      <c r="E322" s="42" t="s">
        <v>2334</v>
      </c>
      <c r="F322" s="42" t="n">
        <v>2018</v>
      </c>
      <c r="G322" s="42" t="s">
        <v>937</v>
      </c>
      <c r="H322" s="42" t="s">
        <v>2335</v>
      </c>
      <c r="I322" s="42" t="s">
        <v>409</v>
      </c>
      <c r="J322" s="42" t="s">
        <v>25</v>
      </c>
      <c r="K322" s="42" t="n">
        <v>3</v>
      </c>
      <c r="L322" s="42" t="n">
        <v>0.33</v>
      </c>
      <c r="M322" s="42" t="s">
        <v>3741</v>
      </c>
      <c r="N322" s="42"/>
      <c r="O322" s="41"/>
      <c r="P322" s="41"/>
      <c r="Q322" s="41"/>
    </row>
    <row r="323" customFormat="false" ht="39" hidden="false" customHeight="true" outlineLevel="0" collapsed="false">
      <c r="A323" s="42" t="n">
        <v>319</v>
      </c>
      <c r="B323" s="42" t="s">
        <v>3796</v>
      </c>
      <c r="C323" s="42" t="s">
        <v>4063</v>
      </c>
      <c r="D323" s="42" t="s">
        <v>2404</v>
      </c>
      <c r="E323" s="42" t="s">
        <v>2405</v>
      </c>
      <c r="F323" s="42" t="n">
        <v>2017</v>
      </c>
      <c r="G323" s="42" t="s">
        <v>2406</v>
      </c>
      <c r="H323" s="42"/>
      <c r="I323" s="42" t="s">
        <v>409</v>
      </c>
      <c r="J323" s="42" t="s">
        <v>25</v>
      </c>
      <c r="K323" s="42" t="n">
        <v>3</v>
      </c>
      <c r="L323" s="42" t="n">
        <v>0.3</v>
      </c>
      <c r="M323" s="42" t="s">
        <v>3741</v>
      </c>
      <c r="N323" s="42"/>
      <c r="O323" s="41"/>
      <c r="P323" s="41"/>
      <c r="Q323" s="41"/>
    </row>
    <row r="324" customFormat="false" ht="51.75" hidden="false" customHeight="true" outlineLevel="0" collapsed="false">
      <c r="A324" s="42" t="n">
        <v>320</v>
      </c>
      <c r="B324" s="42" t="s">
        <v>3796</v>
      </c>
      <c r="C324" s="42" t="s">
        <v>4064</v>
      </c>
      <c r="D324" s="42" t="s">
        <v>257</v>
      </c>
      <c r="E324" s="42" t="s">
        <v>256</v>
      </c>
      <c r="F324" s="42" t="n">
        <v>2017</v>
      </c>
      <c r="G324" s="42" t="s">
        <v>258</v>
      </c>
      <c r="H324" s="42" t="s">
        <v>259</v>
      </c>
      <c r="I324" s="42" t="s">
        <v>3740</v>
      </c>
      <c r="J324" s="42" t="s">
        <v>25</v>
      </c>
      <c r="K324" s="42" t="n">
        <v>3</v>
      </c>
      <c r="L324" s="42" t="n">
        <v>0.3</v>
      </c>
      <c r="M324" s="42" t="s">
        <v>3741</v>
      </c>
      <c r="N324" s="42"/>
      <c r="O324" s="41"/>
      <c r="P324" s="41"/>
      <c r="Q324" s="41"/>
    </row>
    <row r="325" customFormat="false" ht="78" hidden="false" customHeight="true" outlineLevel="0" collapsed="false">
      <c r="A325" s="42" t="n">
        <v>321</v>
      </c>
      <c r="B325" s="42" t="s">
        <v>3796</v>
      </c>
      <c r="C325" s="42" t="s">
        <v>4065</v>
      </c>
      <c r="D325" s="42" t="s">
        <v>2553</v>
      </c>
      <c r="E325" s="42" t="s">
        <v>2554</v>
      </c>
      <c r="F325" s="42" t="n">
        <v>2017</v>
      </c>
      <c r="G325" s="42" t="s">
        <v>2406</v>
      </c>
      <c r="H325" s="42" t="s">
        <v>2555</v>
      </c>
      <c r="I325" s="42" t="s">
        <v>409</v>
      </c>
      <c r="J325" s="42" t="s">
        <v>25</v>
      </c>
      <c r="K325" s="42" t="n">
        <v>3</v>
      </c>
      <c r="L325" s="42" t="n">
        <v>0.3</v>
      </c>
      <c r="M325" s="42" t="s">
        <v>3741</v>
      </c>
      <c r="N325" s="42"/>
      <c r="O325" s="41"/>
      <c r="P325" s="41"/>
      <c r="Q325" s="41"/>
    </row>
    <row r="326" customFormat="false" ht="64.5" hidden="false" customHeight="true" outlineLevel="0" collapsed="false">
      <c r="A326" s="42" t="n">
        <v>322</v>
      </c>
      <c r="B326" s="42" t="s">
        <v>3796</v>
      </c>
      <c r="C326" s="42" t="s">
        <v>4066</v>
      </c>
      <c r="D326" s="42" t="s">
        <v>3546</v>
      </c>
      <c r="E326" s="42" t="s">
        <v>3547</v>
      </c>
      <c r="F326" s="42" t="n">
        <v>2017</v>
      </c>
      <c r="G326" s="42" t="s">
        <v>3548</v>
      </c>
      <c r="H326" s="42" t="s">
        <v>3549</v>
      </c>
      <c r="I326" s="42" t="s">
        <v>3795</v>
      </c>
      <c r="J326" s="42" t="s">
        <v>25</v>
      </c>
      <c r="K326" s="42" t="n">
        <v>3</v>
      </c>
      <c r="L326" s="42" t="n">
        <v>0.3</v>
      </c>
      <c r="M326" s="42" t="s">
        <v>3741</v>
      </c>
      <c r="N326" s="42"/>
      <c r="O326" s="41"/>
      <c r="P326" s="41"/>
      <c r="Q326" s="41"/>
    </row>
    <row r="327" customFormat="false" ht="103.5" hidden="false" customHeight="true" outlineLevel="0" collapsed="false">
      <c r="A327" s="42" t="n">
        <v>323</v>
      </c>
      <c r="B327" s="42" t="s">
        <v>3796</v>
      </c>
      <c r="C327" s="42" t="s">
        <v>4067</v>
      </c>
      <c r="D327" s="42" t="s">
        <v>261</v>
      </c>
      <c r="E327" s="42" t="s">
        <v>260</v>
      </c>
      <c r="F327" s="42" t="n">
        <v>2020</v>
      </c>
      <c r="G327" s="42" t="s">
        <v>262</v>
      </c>
      <c r="H327" s="42"/>
      <c r="I327" s="42" t="s">
        <v>409</v>
      </c>
      <c r="J327" s="42" t="s">
        <v>25</v>
      </c>
      <c r="K327" s="42" t="n">
        <v>2</v>
      </c>
      <c r="L327" s="42" t="n">
        <v>0.29</v>
      </c>
      <c r="M327" s="42" t="s">
        <v>3741</v>
      </c>
      <c r="N327" s="42"/>
      <c r="O327" s="41"/>
      <c r="P327" s="41"/>
      <c r="Q327" s="41"/>
    </row>
    <row r="328" customFormat="false" ht="39" hidden="false" customHeight="true" outlineLevel="0" collapsed="false">
      <c r="A328" s="42" t="n">
        <v>324</v>
      </c>
      <c r="B328" s="42" t="s">
        <v>3796</v>
      </c>
      <c r="C328" s="42" t="s">
        <v>4068</v>
      </c>
      <c r="D328" s="42" t="s">
        <v>315</v>
      </c>
      <c r="E328" s="42" t="s">
        <v>314</v>
      </c>
      <c r="F328" s="42" t="n">
        <v>2020</v>
      </c>
      <c r="G328" s="42" t="s">
        <v>300</v>
      </c>
      <c r="H328" s="42" t="s">
        <v>316</v>
      </c>
      <c r="I328" s="42" t="s">
        <v>409</v>
      </c>
      <c r="J328" s="42" t="s">
        <v>25</v>
      </c>
      <c r="K328" s="42" t="n">
        <v>2</v>
      </c>
      <c r="L328" s="42" t="n">
        <v>0.29</v>
      </c>
      <c r="M328" s="42" t="s">
        <v>3741</v>
      </c>
      <c r="N328" s="42"/>
      <c r="O328" s="41"/>
      <c r="P328" s="41"/>
      <c r="Q328" s="41"/>
    </row>
    <row r="329" customFormat="false" ht="39" hidden="false" customHeight="true" outlineLevel="0" collapsed="false">
      <c r="A329" s="42" t="n">
        <v>325</v>
      </c>
      <c r="B329" s="42" t="s">
        <v>3796</v>
      </c>
      <c r="C329" s="42" t="s">
        <v>4069</v>
      </c>
      <c r="D329" s="42" t="s">
        <v>1881</v>
      </c>
      <c r="E329" s="42" t="s">
        <v>1882</v>
      </c>
      <c r="F329" s="42" t="n">
        <v>2020</v>
      </c>
      <c r="G329" s="42" t="s">
        <v>1883</v>
      </c>
      <c r="H329" s="42"/>
      <c r="I329" s="42" t="s">
        <v>409</v>
      </c>
      <c r="J329" s="42" t="s">
        <v>25</v>
      </c>
      <c r="K329" s="42" t="n">
        <v>2</v>
      </c>
      <c r="L329" s="42" t="n">
        <v>0.29</v>
      </c>
      <c r="M329" s="42" t="s">
        <v>3741</v>
      </c>
      <c r="N329" s="42"/>
      <c r="O329" s="41"/>
      <c r="P329" s="41"/>
      <c r="Q329" s="41"/>
    </row>
    <row r="330" customFormat="false" ht="39" hidden="false" customHeight="true" outlineLevel="0" collapsed="false">
      <c r="A330" s="42" t="n">
        <v>326</v>
      </c>
      <c r="B330" s="42" t="s">
        <v>3796</v>
      </c>
      <c r="C330" s="42" t="s">
        <v>4070</v>
      </c>
      <c r="D330" s="42" t="s">
        <v>1997</v>
      </c>
      <c r="E330" s="42" t="s">
        <v>1998</v>
      </c>
      <c r="F330" s="42" t="n">
        <v>2020</v>
      </c>
      <c r="G330" s="42" t="s">
        <v>1859</v>
      </c>
      <c r="H330" s="42"/>
      <c r="I330" s="42" t="s">
        <v>409</v>
      </c>
      <c r="J330" s="42" t="s">
        <v>25</v>
      </c>
      <c r="K330" s="42" t="n">
        <v>2</v>
      </c>
      <c r="L330" s="42" t="n">
        <v>0.29</v>
      </c>
      <c r="M330" s="42" t="s">
        <v>3741</v>
      </c>
      <c r="N330" s="42"/>
      <c r="O330" s="41"/>
      <c r="P330" s="41"/>
      <c r="Q330" s="41"/>
    </row>
    <row r="331" customFormat="false" ht="25.5" hidden="false" customHeight="true" outlineLevel="0" collapsed="false">
      <c r="A331" s="42" t="n">
        <v>327</v>
      </c>
      <c r="B331" s="42" t="s">
        <v>3796</v>
      </c>
      <c r="C331" s="42" t="s">
        <v>4071</v>
      </c>
      <c r="D331" s="42" t="s">
        <v>1347</v>
      </c>
      <c r="E331" s="42" t="s">
        <v>1348</v>
      </c>
      <c r="F331" s="42" t="n">
        <v>2023</v>
      </c>
      <c r="G331" s="42" t="s">
        <v>342</v>
      </c>
      <c r="H331" s="42" t="s">
        <v>1349</v>
      </c>
      <c r="I331" s="42" t="s">
        <v>409</v>
      </c>
      <c r="J331" s="42" t="s">
        <v>25</v>
      </c>
      <c r="K331" s="42" t="n">
        <v>1</v>
      </c>
      <c r="L331" s="42" t="n">
        <v>0.25</v>
      </c>
      <c r="M331" s="42" t="s">
        <v>3741</v>
      </c>
      <c r="N331" s="42"/>
      <c r="O331" s="41"/>
      <c r="P331" s="41"/>
      <c r="Q331" s="41"/>
    </row>
    <row r="332" customFormat="false" ht="51.75" hidden="false" customHeight="true" outlineLevel="0" collapsed="false">
      <c r="A332" s="42" t="n">
        <v>328</v>
      </c>
      <c r="B332" s="42" t="s">
        <v>3796</v>
      </c>
      <c r="C332" s="42" t="s">
        <v>4072</v>
      </c>
      <c r="D332" s="42" t="s">
        <v>2110</v>
      </c>
      <c r="E332" s="42" t="s">
        <v>2111</v>
      </c>
      <c r="F332" s="42" t="n">
        <v>2019</v>
      </c>
      <c r="G332" s="42" t="s">
        <v>2112</v>
      </c>
      <c r="H332" s="42" t="s">
        <v>2113</v>
      </c>
      <c r="I332" s="42" t="s">
        <v>409</v>
      </c>
      <c r="J332" s="42" t="s">
        <v>25</v>
      </c>
      <c r="K332" s="42" t="n">
        <v>2</v>
      </c>
      <c r="L332" s="42" t="n">
        <v>0.25</v>
      </c>
      <c r="M332" s="42" t="s">
        <v>3741</v>
      </c>
      <c r="N332" s="42"/>
      <c r="O332" s="41"/>
      <c r="P332" s="41"/>
      <c r="Q332" s="41"/>
    </row>
    <row r="333" customFormat="false" ht="39" hidden="false" customHeight="true" outlineLevel="0" collapsed="false">
      <c r="A333" s="42" t="n">
        <v>329</v>
      </c>
      <c r="B333" s="42" t="s">
        <v>3796</v>
      </c>
      <c r="C333" s="42" t="s">
        <v>4073</v>
      </c>
      <c r="D333" s="42" t="s">
        <v>2126</v>
      </c>
      <c r="E333" s="42" t="s">
        <v>2127</v>
      </c>
      <c r="F333" s="42" t="n">
        <v>2019</v>
      </c>
      <c r="G333" s="42" t="s">
        <v>268</v>
      </c>
      <c r="H333" s="42" t="s">
        <v>2128</v>
      </c>
      <c r="I333" s="42" t="s">
        <v>3743</v>
      </c>
      <c r="J333" s="42" t="s">
        <v>25</v>
      </c>
      <c r="K333" s="42" t="n">
        <v>2</v>
      </c>
      <c r="L333" s="42" t="n">
        <v>0.25</v>
      </c>
      <c r="M333" s="42" t="s">
        <v>3741</v>
      </c>
      <c r="N333" s="42"/>
      <c r="O333" s="41"/>
      <c r="P333" s="41"/>
      <c r="Q333" s="41"/>
    </row>
    <row r="334" customFormat="false" ht="25.5" hidden="false" customHeight="true" outlineLevel="0" collapsed="false">
      <c r="A334" s="42" t="n">
        <v>330</v>
      </c>
      <c r="B334" s="42" t="s">
        <v>3796</v>
      </c>
      <c r="C334" s="42" t="s">
        <v>4074</v>
      </c>
      <c r="D334" s="42" t="s">
        <v>3291</v>
      </c>
      <c r="E334" s="42" t="s">
        <v>3292</v>
      </c>
      <c r="F334" s="42" t="n">
        <v>2019</v>
      </c>
      <c r="G334" s="42" t="s">
        <v>3015</v>
      </c>
      <c r="H334" s="42" t="s">
        <v>3293</v>
      </c>
      <c r="I334" s="42" t="s">
        <v>3740</v>
      </c>
      <c r="J334" s="42" t="s">
        <v>25</v>
      </c>
      <c r="K334" s="42" t="n">
        <v>2</v>
      </c>
      <c r="L334" s="42" t="n">
        <v>0.25</v>
      </c>
      <c r="M334" s="42" t="s">
        <v>3741</v>
      </c>
      <c r="N334" s="42"/>
      <c r="O334" s="41"/>
      <c r="P334" s="41"/>
      <c r="Q334" s="41"/>
    </row>
    <row r="335" customFormat="false" ht="64.5" hidden="false" customHeight="true" outlineLevel="0" collapsed="false">
      <c r="A335" s="42" t="n">
        <v>331</v>
      </c>
      <c r="B335" s="42" t="s">
        <v>3796</v>
      </c>
      <c r="C335" s="42" t="s">
        <v>4075</v>
      </c>
      <c r="D335" s="42" t="s">
        <v>2190</v>
      </c>
      <c r="E335" s="42" t="s">
        <v>2191</v>
      </c>
      <c r="F335" s="42" t="n">
        <v>2019</v>
      </c>
      <c r="G335" s="42" t="s">
        <v>107</v>
      </c>
      <c r="H335" s="42" t="s">
        <v>2192</v>
      </c>
      <c r="I335" s="42" t="s">
        <v>409</v>
      </c>
      <c r="J335" s="42" t="s">
        <v>25</v>
      </c>
      <c r="K335" s="42" t="n">
        <v>2</v>
      </c>
      <c r="L335" s="42" t="n">
        <v>0.25</v>
      </c>
      <c r="M335" s="42" t="s">
        <v>3741</v>
      </c>
      <c r="N335" s="42"/>
      <c r="O335" s="41"/>
      <c r="P335" s="41"/>
      <c r="Q335" s="41"/>
    </row>
    <row r="336" customFormat="false" ht="51.75" hidden="false" customHeight="true" outlineLevel="0" collapsed="false">
      <c r="A336" s="42" t="n">
        <v>332</v>
      </c>
      <c r="B336" s="42" t="s">
        <v>3796</v>
      </c>
      <c r="C336" s="42" t="s">
        <v>4076</v>
      </c>
      <c r="D336" s="42" t="s">
        <v>2210</v>
      </c>
      <c r="E336" s="42" t="s">
        <v>2211</v>
      </c>
      <c r="F336" s="42" t="n">
        <v>2019</v>
      </c>
      <c r="G336" s="42" t="s">
        <v>107</v>
      </c>
      <c r="H336" s="42"/>
      <c r="I336" s="42" t="s">
        <v>409</v>
      </c>
      <c r="J336" s="42" t="s">
        <v>25</v>
      </c>
      <c r="K336" s="42" t="n">
        <v>2</v>
      </c>
      <c r="L336" s="42" t="n">
        <v>0.25</v>
      </c>
      <c r="M336" s="42" t="s">
        <v>3741</v>
      </c>
      <c r="N336" s="42"/>
      <c r="O336" s="41"/>
      <c r="P336" s="41"/>
      <c r="Q336" s="41"/>
    </row>
    <row r="337" customFormat="false" ht="51.75" hidden="false" customHeight="true" outlineLevel="0" collapsed="false">
      <c r="A337" s="42" t="n">
        <v>333</v>
      </c>
      <c r="B337" s="42" t="s">
        <v>3796</v>
      </c>
      <c r="C337" s="42" t="s">
        <v>4077</v>
      </c>
      <c r="D337" s="42" t="s">
        <v>2230</v>
      </c>
      <c r="E337" s="42" t="s">
        <v>2231</v>
      </c>
      <c r="F337" s="42" t="n">
        <v>2018</v>
      </c>
      <c r="G337" s="42" t="s">
        <v>2232</v>
      </c>
      <c r="H337" s="42" t="s">
        <v>2233</v>
      </c>
      <c r="I337" s="42" t="s">
        <v>409</v>
      </c>
      <c r="J337" s="42" t="s">
        <v>25</v>
      </c>
      <c r="K337" s="42" t="n">
        <v>2</v>
      </c>
      <c r="L337" s="42" t="n">
        <v>0.22</v>
      </c>
      <c r="M337" s="42" t="s">
        <v>3741</v>
      </c>
      <c r="N337" s="42"/>
      <c r="O337" s="41"/>
      <c r="P337" s="41"/>
      <c r="Q337" s="41"/>
    </row>
    <row r="338" customFormat="false" ht="39" hidden="false" customHeight="true" outlineLevel="0" collapsed="false">
      <c r="A338" s="42" t="n">
        <v>334</v>
      </c>
      <c r="B338" s="42" t="s">
        <v>3796</v>
      </c>
      <c r="C338" s="42" t="s">
        <v>4078</v>
      </c>
      <c r="D338" s="42" t="s">
        <v>2345</v>
      </c>
      <c r="E338" s="42" t="s">
        <v>2346</v>
      </c>
      <c r="F338" s="42" t="n">
        <v>2018</v>
      </c>
      <c r="G338" s="42" t="s">
        <v>2232</v>
      </c>
      <c r="H338" s="42" t="s">
        <v>2347</v>
      </c>
      <c r="I338" s="42" t="s">
        <v>409</v>
      </c>
      <c r="J338" s="42" t="s">
        <v>25</v>
      </c>
      <c r="K338" s="42" t="n">
        <v>2</v>
      </c>
      <c r="L338" s="42" t="n">
        <v>0.22</v>
      </c>
      <c r="M338" s="42" t="s">
        <v>3741</v>
      </c>
      <c r="N338" s="42"/>
      <c r="O338" s="41"/>
      <c r="P338" s="41"/>
      <c r="Q338" s="41"/>
    </row>
    <row r="339" customFormat="false" ht="25.5" hidden="false" customHeight="true" outlineLevel="0" collapsed="false">
      <c r="A339" s="42" t="n">
        <v>335</v>
      </c>
      <c r="B339" s="42" t="s">
        <v>3796</v>
      </c>
      <c r="C339" s="42" t="s">
        <v>4079</v>
      </c>
      <c r="D339" s="42" t="s">
        <v>1420</v>
      </c>
      <c r="E339" s="42" t="s">
        <v>1421</v>
      </c>
      <c r="F339" s="42" t="n">
        <v>2022</v>
      </c>
      <c r="G339" s="42" t="s">
        <v>1422</v>
      </c>
      <c r="H339" s="42" t="s">
        <v>1423</v>
      </c>
      <c r="I339" s="42" t="s">
        <v>409</v>
      </c>
      <c r="J339" s="42" t="s">
        <v>25</v>
      </c>
      <c r="K339" s="42" t="n">
        <v>1</v>
      </c>
      <c r="L339" s="42" t="n">
        <v>0.2</v>
      </c>
      <c r="M339" s="42" t="s">
        <v>3741</v>
      </c>
      <c r="N339" s="42"/>
      <c r="O339" s="41"/>
      <c r="P339" s="41"/>
      <c r="Q339" s="41"/>
    </row>
    <row r="340" customFormat="false" ht="25.5" hidden="false" customHeight="true" outlineLevel="0" collapsed="false">
      <c r="A340" s="42" t="n">
        <v>336</v>
      </c>
      <c r="B340" s="42" t="s">
        <v>3796</v>
      </c>
      <c r="C340" s="42" t="s">
        <v>4080</v>
      </c>
      <c r="D340" s="42" t="s">
        <v>1517</v>
      </c>
      <c r="E340" s="42" t="s">
        <v>1518</v>
      </c>
      <c r="F340" s="42" t="n">
        <v>2022</v>
      </c>
      <c r="G340" s="42" t="s">
        <v>1422</v>
      </c>
      <c r="H340" s="42" t="s">
        <v>1519</v>
      </c>
      <c r="I340" s="42" t="s">
        <v>409</v>
      </c>
      <c r="J340" s="42" t="s">
        <v>25</v>
      </c>
      <c r="K340" s="42" t="n">
        <v>1</v>
      </c>
      <c r="L340" s="42" t="n">
        <v>0.2</v>
      </c>
      <c r="M340" s="42" t="s">
        <v>3741</v>
      </c>
      <c r="N340" s="42"/>
      <c r="O340" s="41"/>
      <c r="P340" s="41"/>
      <c r="Q340" s="41"/>
    </row>
    <row r="341" customFormat="false" ht="64.5" hidden="false" customHeight="true" outlineLevel="0" collapsed="false">
      <c r="A341" s="42" t="n">
        <v>337</v>
      </c>
      <c r="B341" s="42" t="s">
        <v>3796</v>
      </c>
      <c r="C341" s="42" t="s">
        <v>4081</v>
      </c>
      <c r="D341" s="42" t="s">
        <v>1562</v>
      </c>
      <c r="E341" s="42" t="s">
        <v>1563</v>
      </c>
      <c r="F341" s="42" t="n">
        <v>2022</v>
      </c>
      <c r="G341" s="42" t="s">
        <v>1564</v>
      </c>
      <c r="H341" s="42" t="s">
        <v>1565</v>
      </c>
      <c r="I341" s="42" t="s">
        <v>409</v>
      </c>
      <c r="J341" s="42" t="s">
        <v>25</v>
      </c>
      <c r="K341" s="42" t="n">
        <v>1</v>
      </c>
      <c r="L341" s="42" t="n">
        <v>0.2</v>
      </c>
      <c r="M341" s="42" t="s">
        <v>3741</v>
      </c>
      <c r="N341" s="42"/>
      <c r="O341" s="41"/>
      <c r="P341" s="41"/>
      <c r="Q341" s="41"/>
    </row>
    <row r="342" customFormat="false" ht="51.75" hidden="false" customHeight="true" outlineLevel="0" collapsed="false">
      <c r="A342" s="42" t="n">
        <v>338</v>
      </c>
      <c r="B342" s="42" t="s">
        <v>3796</v>
      </c>
      <c r="C342" s="42" t="s">
        <v>4082</v>
      </c>
      <c r="D342" s="42" t="s">
        <v>371</v>
      </c>
      <c r="E342" s="42" t="s">
        <v>370</v>
      </c>
      <c r="F342" s="42" t="n">
        <v>2022</v>
      </c>
      <c r="G342" s="42" t="s">
        <v>372</v>
      </c>
      <c r="H342" s="42" t="s">
        <v>373</v>
      </c>
      <c r="I342" s="42" t="s">
        <v>409</v>
      </c>
      <c r="J342" s="42" t="s">
        <v>25</v>
      </c>
      <c r="K342" s="42" t="n">
        <v>1</v>
      </c>
      <c r="L342" s="42" t="n">
        <v>0.2</v>
      </c>
      <c r="M342" s="42" t="s">
        <v>3741</v>
      </c>
      <c r="N342" s="42"/>
      <c r="O342" s="41"/>
      <c r="P342" s="41"/>
      <c r="Q342" s="41"/>
    </row>
    <row r="343" customFormat="false" ht="64.5" hidden="false" customHeight="true" outlineLevel="0" collapsed="false">
      <c r="A343" s="42" t="n">
        <v>339</v>
      </c>
      <c r="B343" s="42" t="s">
        <v>3796</v>
      </c>
      <c r="C343" s="42" t="s">
        <v>4083</v>
      </c>
      <c r="D343" s="42" t="s">
        <v>1596</v>
      </c>
      <c r="E343" s="42" t="s">
        <v>1597</v>
      </c>
      <c r="F343" s="42" t="n">
        <v>2022</v>
      </c>
      <c r="G343" s="42" t="s">
        <v>1428</v>
      </c>
      <c r="H343" s="42" t="s">
        <v>1598</v>
      </c>
      <c r="I343" s="42" t="s">
        <v>409</v>
      </c>
      <c r="J343" s="42" t="s">
        <v>25</v>
      </c>
      <c r="K343" s="42" t="n">
        <v>1</v>
      </c>
      <c r="L343" s="42" t="n">
        <v>0.2</v>
      </c>
      <c r="M343" s="42" t="s">
        <v>3741</v>
      </c>
      <c r="N343" s="42"/>
      <c r="O343" s="41"/>
      <c r="P343" s="41"/>
      <c r="Q343" s="41"/>
    </row>
    <row r="344" customFormat="false" ht="39" hidden="false" customHeight="true" outlineLevel="0" collapsed="false">
      <c r="A344" s="42" t="n">
        <v>340</v>
      </c>
      <c r="B344" s="42" t="s">
        <v>3796</v>
      </c>
      <c r="C344" s="42" t="s">
        <v>4084</v>
      </c>
      <c r="D344" s="42" t="s">
        <v>1606</v>
      </c>
      <c r="E344" s="42" t="s">
        <v>1607</v>
      </c>
      <c r="F344" s="42" t="n">
        <v>2022</v>
      </c>
      <c r="G344" s="42" t="s">
        <v>1608</v>
      </c>
      <c r="H344" s="42" t="s">
        <v>1609</v>
      </c>
      <c r="I344" s="42" t="s">
        <v>409</v>
      </c>
      <c r="J344" s="42" t="s">
        <v>25</v>
      </c>
      <c r="K344" s="42" t="n">
        <v>1</v>
      </c>
      <c r="L344" s="42" t="n">
        <v>0.2</v>
      </c>
      <c r="M344" s="42" t="s">
        <v>3741</v>
      </c>
      <c r="N344" s="42"/>
      <c r="O344" s="41"/>
      <c r="P344" s="41"/>
      <c r="Q344" s="41"/>
    </row>
    <row r="345" customFormat="false" ht="39" hidden="false" customHeight="true" outlineLevel="0" collapsed="false">
      <c r="A345" s="42" t="n">
        <v>341</v>
      </c>
      <c r="B345" s="42" t="s">
        <v>3796</v>
      </c>
      <c r="C345" s="42" t="s">
        <v>4085</v>
      </c>
      <c r="D345" s="42" t="s">
        <v>2762</v>
      </c>
      <c r="E345" s="42" t="s">
        <v>2763</v>
      </c>
      <c r="F345" s="42" t="n">
        <v>2022</v>
      </c>
      <c r="G345" s="42" t="s">
        <v>2764</v>
      </c>
      <c r="H345" s="42" t="s">
        <v>2765</v>
      </c>
      <c r="I345" s="42" t="s">
        <v>3767</v>
      </c>
      <c r="J345" s="42" t="s">
        <v>25</v>
      </c>
      <c r="K345" s="42" t="n">
        <v>1</v>
      </c>
      <c r="L345" s="42" t="n">
        <v>0.2</v>
      </c>
      <c r="M345" s="42" t="s">
        <v>3741</v>
      </c>
      <c r="N345" s="42"/>
      <c r="O345" s="41"/>
      <c r="P345" s="41"/>
      <c r="Q345" s="41"/>
    </row>
    <row r="346" customFormat="false" ht="39" hidden="false" customHeight="true" outlineLevel="0" collapsed="false">
      <c r="A346" s="42" t="n">
        <v>342</v>
      </c>
      <c r="B346" s="42" t="s">
        <v>3796</v>
      </c>
      <c r="C346" s="42" t="s">
        <v>4086</v>
      </c>
      <c r="D346" s="42" t="s">
        <v>1617</v>
      </c>
      <c r="E346" s="42" t="s">
        <v>1618</v>
      </c>
      <c r="F346" s="42" t="n">
        <v>2022</v>
      </c>
      <c r="G346" s="42" t="s">
        <v>1475</v>
      </c>
      <c r="H346" s="42" t="s">
        <v>1619</v>
      </c>
      <c r="I346" s="42" t="s">
        <v>409</v>
      </c>
      <c r="J346" s="42" t="s">
        <v>25</v>
      </c>
      <c r="K346" s="42" t="n">
        <v>1</v>
      </c>
      <c r="L346" s="42" t="n">
        <v>0.2</v>
      </c>
      <c r="M346" s="42" t="s">
        <v>3741</v>
      </c>
      <c r="N346" s="42"/>
      <c r="O346" s="41"/>
      <c r="P346" s="41"/>
      <c r="Q346" s="41"/>
    </row>
    <row r="347" customFormat="false" ht="39" hidden="false" customHeight="true" outlineLevel="0" collapsed="false">
      <c r="A347" s="42" t="n">
        <v>343</v>
      </c>
      <c r="B347" s="42" t="s">
        <v>3796</v>
      </c>
      <c r="C347" s="42" t="s">
        <v>4087</v>
      </c>
      <c r="D347" s="42" t="s">
        <v>2491</v>
      </c>
      <c r="E347" s="42" t="s">
        <v>2492</v>
      </c>
      <c r="F347" s="42" t="n">
        <v>2017</v>
      </c>
      <c r="G347" s="42" t="s">
        <v>268</v>
      </c>
      <c r="H347" s="42" t="s">
        <v>2493</v>
      </c>
      <c r="I347" s="42" t="s">
        <v>3743</v>
      </c>
      <c r="J347" s="42" t="s">
        <v>25</v>
      </c>
      <c r="K347" s="42" t="n">
        <v>2</v>
      </c>
      <c r="L347" s="42" t="n">
        <v>0.2</v>
      </c>
      <c r="M347" s="42" t="s">
        <v>3741</v>
      </c>
      <c r="N347" s="42"/>
      <c r="O347" s="41"/>
      <c r="P347" s="41"/>
      <c r="Q347" s="41"/>
    </row>
    <row r="348" customFormat="false" ht="64.5" hidden="false" customHeight="true" outlineLevel="0" collapsed="false">
      <c r="A348" s="42" t="n">
        <v>344</v>
      </c>
      <c r="B348" s="42" t="s">
        <v>3796</v>
      </c>
      <c r="C348" s="42" t="s">
        <v>4088</v>
      </c>
      <c r="D348" s="42" t="s">
        <v>2506</v>
      </c>
      <c r="E348" s="42" t="s">
        <v>2507</v>
      </c>
      <c r="F348" s="42" t="n">
        <v>2017</v>
      </c>
      <c r="G348" s="42" t="s">
        <v>2508</v>
      </c>
      <c r="H348" s="42" t="s">
        <v>2509</v>
      </c>
      <c r="I348" s="42" t="s">
        <v>409</v>
      </c>
      <c r="J348" s="42" t="s">
        <v>25</v>
      </c>
      <c r="K348" s="42" t="n">
        <v>2</v>
      </c>
      <c r="L348" s="42" t="n">
        <v>0.2</v>
      </c>
      <c r="M348" s="42" t="s">
        <v>3741</v>
      </c>
      <c r="N348" s="42"/>
      <c r="O348" s="41"/>
      <c r="P348" s="41"/>
      <c r="Q348" s="41"/>
    </row>
    <row r="349" customFormat="false" ht="51.75" hidden="false" customHeight="true" outlineLevel="0" collapsed="false">
      <c r="A349" s="42" t="n">
        <v>345</v>
      </c>
      <c r="B349" s="42" t="s">
        <v>3796</v>
      </c>
      <c r="C349" s="42" t="s">
        <v>4089</v>
      </c>
      <c r="D349" s="42" t="s">
        <v>1658</v>
      </c>
      <c r="E349" s="42" t="s">
        <v>1659</v>
      </c>
      <c r="F349" s="42" t="n">
        <v>2021</v>
      </c>
      <c r="G349" s="42" t="s">
        <v>107</v>
      </c>
      <c r="H349" s="42" t="s">
        <v>1660</v>
      </c>
      <c r="I349" s="42" t="s">
        <v>409</v>
      </c>
      <c r="J349" s="42" t="s">
        <v>25</v>
      </c>
      <c r="K349" s="42" t="n">
        <v>1</v>
      </c>
      <c r="L349" s="42" t="n">
        <v>0.17</v>
      </c>
      <c r="M349" s="42" t="s">
        <v>3741</v>
      </c>
      <c r="N349" s="42"/>
      <c r="O349" s="41"/>
      <c r="P349" s="41"/>
      <c r="Q349" s="41"/>
    </row>
    <row r="350" customFormat="false" ht="39" hidden="false" customHeight="true" outlineLevel="0" collapsed="false">
      <c r="A350" s="42" t="n">
        <v>346</v>
      </c>
      <c r="B350" s="42" t="s">
        <v>3796</v>
      </c>
      <c r="C350" s="42" t="s">
        <v>4090</v>
      </c>
      <c r="D350" s="42" t="s">
        <v>3174</v>
      </c>
      <c r="E350" s="42" t="s">
        <v>3175</v>
      </c>
      <c r="F350" s="42" t="n">
        <v>2020</v>
      </c>
      <c r="G350" s="42" t="s">
        <v>2833</v>
      </c>
      <c r="H350" s="42" t="s">
        <v>3176</v>
      </c>
      <c r="I350" s="42" t="s">
        <v>3740</v>
      </c>
      <c r="J350" s="42" t="s">
        <v>25</v>
      </c>
      <c r="K350" s="42" t="n">
        <v>1</v>
      </c>
      <c r="L350" s="42" t="n">
        <v>0.14</v>
      </c>
      <c r="M350" s="42" t="s">
        <v>3741</v>
      </c>
      <c r="N350" s="42"/>
      <c r="O350" s="41"/>
      <c r="P350" s="41"/>
      <c r="Q350" s="41"/>
    </row>
    <row r="351" customFormat="false" ht="39" hidden="false" customHeight="true" outlineLevel="0" collapsed="false">
      <c r="A351" s="42" t="n">
        <v>347</v>
      </c>
      <c r="B351" s="42" t="s">
        <v>3796</v>
      </c>
      <c r="C351" s="42" t="s">
        <v>4091</v>
      </c>
      <c r="D351" s="42" t="s">
        <v>299</v>
      </c>
      <c r="E351" s="42" t="s">
        <v>298</v>
      </c>
      <c r="F351" s="42" t="n">
        <v>2020</v>
      </c>
      <c r="G351" s="42" t="s">
        <v>300</v>
      </c>
      <c r="H351" s="42"/>
      <c r="I351" s="42" t="s">
        <v>409</v>
      </c>
      <c r="J351" s="42" t="s">
        <v>25</v>
      </c>
      <c r="K351" s="42" t="n">
        <v>1</v>
      </c>
      <c r="L351" s="42" t="n">
        <v>0.14</v>
      </c>
      <c r="M351" s="42" t="s">
        <v>3741</v>
      </c>
      <c r="N351" s="42"/>
      <c r="O351" s="41"/>
      <c r="P351" s="41"/>
      <c r="Q351" s="41"/>
    </row>
    <row r="352" customFormat="false" ht="39" hidden="false" customHeight="true" outlineLevel="0" collapsed="false">
      <c r="A352" s="42" t="n">
        <v>348</v>
      </c>
      <c r="B352" s="42" t="s">
        <v>3796</v>
      </c>
      <c r="C352" s="42" t="s">
        <v>4092</v>
      </c>
      <c r="D352" s="42" t="s">
        <v>1972</v>
      </c>
      <c r="E352" s="42" t="s">
        <v>1973</v>
      </c>
      <c r="F352" s="42" t="n">
        <v>2020</v>
      </c>
      <c r="G352" s="42" t="s">
        <v>58</v>
      </c>
      <c r="H352" s="42" t="s">
        <v>1974</v>
      </c>
      <c r="I352" s="42" t="s">
        <v>3743</v>
      </c>
      <c r="J352" s="42" t="s">
        <v>25</v>
      </c>
      <c r="K352" s="42" t="n">
        <v>1</v>
      </c>
      <c r="L352" s="42" t="n">
        <v>0.14</v>
      </c>
      <c r="M352" s="42" t="s">
        <v>3741</v>
      </c>
      <c r="N352" s="42"/>
      <c r="O352" s="41"/>
      <c r="P352" s="41"/>
      <c r="Q352" s="41"/>
    </row>
    <row r="353" customFormat="false" ht="25.5" hidden="false" customHeight="true" outlineLevel="0" collapsed="false">
      <c r="A353" s="42" t="n">
        <v>349</v>
      </c>
      <c r="B353" s="42" t="s">
        <v>3796</v>
      </c>
      <c r="C353" s="42" t="s">
        <v>4093</v>
      </c>
      <c r="D353" s="42" t="s">
        <v>3249</v>
      </c>
      <c r="E353" s="42" t="s">
        <v>3250</v>
      </c>
      <c r="F353" s="42" t="n">
        <v>2019</v>
      </c>
      <c r="G353" s="42" t="s">
        <v>3068</v>
      </c>
      <c r="H353" s="42" t="s">
        <v>3251</v>
      </c>
      <c r="I353" s="42" t="s">
        <v>3740</v>
      </c>
      <c r="J353" s="42" t="s">
        <v>25</v>
      </c>
      <c r="K353" s="42" t="n">
        <v>1</v>
      </c>
      <c r="L353" s="42" t="n">
        <v>0.12</v>
      </c>
      <c r="M353" s="42" t="s">
        <v>3741</v>
      </c>
      <c r="N353" s="42"/>
      <c r="O353" s="41"/>
      <c r="P353" s="41"/>
      <c r="Q353" s="41"/>
    </row>
    <row r="354" customFormat="false" ht="25.5" hidden="false" customHeight="true" outlineLevel="0" collapsed="false">
      <c r="A354" s="42" t="n">
        <v>350</v>
      </c>
      <c r="B354" s="42" t="s">
        <v>3796</v>
      </c>
      <c r="C354" s="42" t="s">
        <v>4094</v>
      </c>
      <c r="D354" s="42" t="s">
        <v>2131</v>
      </c>
      <c r="E354" s="42" t="s">
        <v>2132</v>
      </c>
      <c r="F354" s="42" t="n">
        <v>2019</v>
      </c>
      <c r="G354" s="42" t="s">
        <v>2133</v>
      </c>
      <c r="H354" s="42" t="s">
        <v>2134</v>
      </c>
      <c r="I354" s="42" t="s">
        <v>409</v>
      </c>
      <c r="J354" s="42" t="s">
        <v>25</v>
      </c>
      <c r="K354" s="42" t="n">
        <v>1</v>
      </c>
      <c r="L354" s="42" t="n">
        <v>0.12</v>
      </c>
      <c r="M354" s="42" t="s">
        <v>3741</v>
      </c>
      <c r="N354" s="42"/>
      <c r="O354" s="41"/>
      <c r="P354" s="41"/>
      <c r="Q354" s="41"/>
    </row>
    <row r="355" customFormat="false" ht="51.75" hidden="false" customHeight="true" outlineLevel="0" collapsed="false">
      <c r="A355" s="42" t="n">
        <v>351</v>
      </c>
      <c r="B355" s="42" t="s">
        <v>3796</v>
      </c>
      <c r="C355" s="42" t="s">
        <v>4095</v>
      </c>
      <c r="D355" s="42" t="s">
        <v>2168</v>
      </c>
      <c r="E355" s="42" t="s">
        <v>2169</v>
      </c>
      <c r="F355" s="42" t="n">
        <v>2019</v>
      </c>
      <c r="G355" s="42" t="s">
        <v>2170</v>
      </c>
      <c r="H355" s="42" t="s">
        <v>2171</v>
      </c>
      <c r="I355" s="42" t="s">
        <v>409</v>
      </c>
      <c r="J355" s="42" t="s">
        <v>25</v>
      </c>
      <c r="K355" s="42" t="n">
        <v>1</v>
      </c>
      <c r="L355" s="42" t="n">
        <v>0.12</v>
      </c>
      <c r="M355" s="42" t="s">
        <v>3741</v>
      </c>
      <c r="N355" s="42"/>
      <c r="O355" s="41"/>
      <c r="P355" s="41"/>
      <c r="Q355" s="41"/>
    </row>
    <row r="356" customFormat="false" ht="51.75" hidden="false" customHeight="true" outlineLevel="0" collapsed="false">
      <c r="A356" s="42" t="n">
        <v>352</v>
      </c>
      <c r="B356" s="42" t="s">
        <v>3796</v>
      </c>
      <c r="C356" s="42" t="s">
        <v>4096</v>
      </c>
      <c r="D356" s="42" t="s">
        <v>2179</v>
      </c>
      <c r="E356" s="42" t="s">
        <v>2180</v>
      </c>
      <c r="F356" s="42" t="n">
        <v>2019</v>
      </c>
      <c r="G356" s="42" t="s">
        <v>2112</v>
      </c>
      <c r="H356" s="42" t="s">
        <v>2181</v>
      </c>
      <c r="I356" s="42" t="s">
        <v>409</v>
      </c>
      <c r="J356" s="42" t="s">
        <v>25</v>
      </c>
      <c r="K356" s="42" t="n">
        <v>1</v>
      </c>
      <c r="L356" s="42" t="n">
        <v>0.12</v>
      </c>
      <c r="M356" s="42" t="s">
        <v>3741</v>
      </c>
      <c r="N356" s="42"/>
      <c r="O356" s="41"/>
      <c r="P356" s="41"/>
      <c r="Q356" s="41"/>
    </row>
    <row r="357" customFormat="false" ht="39" hidden="false" customHeight="true" outlineLevel="0" collapsed="false">
      <c r="A357" s="42" t="n">
        <v>353</v>
      </c>
      <c r="B357" s="42" t="s">
        <v>3796</v>
      </c>
      <c r="C357" s="42" t="s">
        <v>4097</v>
      </c>
      <c r="D357" s="42" t="s">
        <v>2219</v>
      </c>
      <c r="E357" s="42" t="s">
        <v>2220</v>
      </c>
      <c r="F357" s="42" t="n">
        <v>2019</v>
      </c>
      <c r="G357" s="42" t="s">
        <v>2221</v>
      </c>
      <c r="H357" s="42"/>
      <c r="I357" s="42" t="s">
        <v>409</v>
      </c>
      <c r="J357" s="42" t="s">
        <v>25</v>
      </c>
      <c r="K357" s="42" t="n">
        <v>1</v>
      </c>
      <c r="L357" s="42" t="n">
        <v>0.12</v>
      </c>
      <c r="M357" s="42" t="s">
        <v>3741</v>
      </c>
      <c r="N357" s="42"/>
      <c r="O357" s="41"/>
      <c r="P357" s="41"/>
      <c r="Q357" s="41"/>
    </row>
    <row r="358" customFormat="false" ht="25.5" hidden="false" customHeight="true" outlineLevel="0" collapsed="false">
      <c r="A358" s="42" t="n">
        <v>354</v>
      </c>
      <c r="B358" s="42" t="s">
        <v>3796</v>
      </c>
      <c r="C358" s="42" t="s">
        <v>4098</v>
      </c>
      <c r="D358" s="42" t="s">
        <v>2427</v>
      </c>
      <c r="E358" s="42" t="s">
        <v>2428</v>
      </c>
      <c r="F358" s="42" t="n">
        <v>2017</v>
      </c>
      <c r="G358" s="42" t="s">
        <v>2429</v>
      </c>
      <c r="H358" s="42" t="s">
        <v>2430</v>
      </c>
      <c r="I358" s="42" t="s">
        <v>3743</v>
      </c>
      <c r="J358" s="42" t="s">
        <v>25</v>
      </c>
      <c r="K358" s="42" t="n">
        <v>1</v>
      </c>
      <c r="L358" s="42" t="n">
        <v>0.1</v>
      </c>
      <c r="M358" s="42" t="s">
        <v>3741</v>
      </c>
      <c r="N358" s="42"/>
      <c r="O358" s="41"/>
      <c r="P358" s="41"/>
      <c r="Q358" s="41"/>
    </row>
    <row r="359" customFormat="false" ht="39" hidden="false" customHeight="true" outlineLevel="0" collapsed="false">
      <c r="A359" s="42" t="n">
        <v>355</v>
      </c>
      <c r="B359" s="42" t="s">
        <v>3796</v>
      </c>
      <c r="C359" s="42" t="s">
        <v>4099</v>
      </c>
      <c r="D359" s="42" t="s">
        <v>2496</v>
      </c>
      <c r="E359" s="42" t="s">
        <v>2497</v>
      </c>
      <c r="F359" s="42" t="n">
        <v>2017</v>
      </c>
      <c r="G359" s="42" t="s">
        <v>2435</v>
      </c>
      <c r="H359" s="42" t="s">
        <v>2498</v>
      </c>
      <c r="I359" s="42" t="s">
        <v>409</v>
      </c>
      <c r="J359" s="42" t="s">
        <v>25</v>
      </c>
      <c r="K359" s="42" t="n">
        <v>1</v>
      </c>
      <c r="L359" s="42" t="n">
        <v>0.1</v>
      </c>
      <c r="M359" s="42" t="s">
        <v>3741</v>
      </c>
      <c r="N359" s="42"/>
      <c r="O359" s="41"/>
      <c r="P359" s="41"/>
      <c r="Q359" s="41"/>
    </row>
    <row r="360" customFormat="false" ht="25.5" hidden="false" customHeight="true" outlineLevel="0" collapsed="false">
      <c r="A360" s="42" t="n">
        <v>356</v>
      </c>
      <c r="B360" s="42" t="s">
        <v>3796</v>
      </c>
      <c r="C360" s="42" t="s">
        <v>4100</v>
      </c>
      <c r="D360" s="42" t="s">
        <v>2642</v>
      </c>
      <c r="E360" s="42" t="s">
        <v>2643</v>
      </c>
      <c r="F360" s="42" t="n">
        <v>2016</v>
      </c>
      <c r="G360" s="42" t="s">
        <v>300</v>
      </c>
      <c r="H360" s="42" t="s">
        <v>2644</v>
      </c>
      <c r="I360" s="42" t="s">
        <v>409</v>
      </c>
      <c r="J360" s="42" t="s">
        <v>25</v>
      </c>
      <c r="K360" s="42" t="n">
        <v>1</v>
      </c>
      <c r="L360" s="42" t="n">
        <v>0.09</v>
      </c>
      <c r="M360" s="42" t="s">
        <v>3741</v>
      </c>
      <c r="N360" s="42"/>
      <c r="O360" s="41"/>
      <c r="P360" s="41"/>
      <c r="Q360" s="41"/>
    </row>
    <row r="361" customFormat="false" ht="39" hidden="false" customHeight="true" outlineLevel="0" collapsed="false">
      <c r="A361" s="42" t="n">
        <v>357</v>
      </c>
      <c r="B361" s="42" t="s">
        <v>3796</v>
      </c>
      <c r="C361" s="42" t="s">
        <v>4101</v>
      </c>
      <c r="D361" s="42" t="s">
        <v>2679</v>
      </c>
      <c r="E361" s="42" t="s">
        <v>2680</v>
      </c>
      <c r="F361" s="42" t="n">
        <v>2016</v>
      </c>
      <c r="G361" s="42" t="s">
        <v>2681</v>
      </c>
      <c r="H361" s="42" t="s">
        <v>2682</v>
      </c>
      <c r="I361" s="42" t="s">
        <v>409</v>
      </c>
      <c r="J361" s="42" t="s">
        <v>25</v>
      </c>
      <c r="K361" s="42" t="n">
        <v>1</v>
      </c>
      <c r="L361" s="42" t="n">
        <v>0.09</v>
      </c>
      <c r="M361" s="42" t="s">
        <v>3741</v>
      </c>
      <c r="N361" s="42"/>
      <c r="O361" s="41"/>
      <c r="P361" s="41"/>
      <c r="Q361" s="41"/>
    </row>
    <row r="362" customFormat="false" ht="39" hidden="false" customHeight="true" outlineLevel="0" collapsed="false">
      <c r="A362" s="42" t="n">
        <v>358</v>
      </c>
      <c r="B362" s="42" t="s">
        <v>3796</v>
      </c>
      <c r="C362" s="42" t="s">
        <v>4102</v>
      </c>
      <c r="D362" s="42" t="s">
        <v>2703</v>
      </c>
      <c r="E362" s="42" t="s">
        <v>2704</v>
      </c>
      <c r="F362" s="42" t="n">
        <v>2016</v>
      </c>
      <c r="G362" s="42" t="s">
        <v>103</v>
      </c>
      <c r="H362" s="42" t="s">
        <v>2705</v>
      </c>
      <c r="I362" s="42" t="s">
        <v>409</v>
      </c>
      <c r="J362" s="42" t="s">
        <v>25</v>
      </c>
      <c r="K362" s="42" t="n">
        <v>1</v>
      </c>
      <c r="L362" s="42" t="n">
        <v>0.09</v>
      </c>
      <c r="M362" s="42" t="s">
        <v>3741</v>
      </c>
      <c r="N362" s="42"/>
      <c r="O362" s="41"/>
      <c r="P362" s="41"/>
      <c r="Q362" s="41"/>
    </row>
    <row r="363" customFormat="false" ht="51.75" hidden="false" customHeight="true" outlineLevel="0" collapsed="false">
      <c r="A363" s="42" t="n">
        <v>359</v>
      </c>
      <c r="B363" s="42" t="s">
        <v>3796</v>
      </c>
      <c r="C363" s="42" t="s">
        <v>4103</v>
      </c>
      <c r="D363" s="42" t="s">
        <v>2831</v>
      </c>
      <c r="E363" s="42" t="s">
        <v>2832</v>
      </c>
      <c r="F363" s="42" t="n">
        <v>2026</v>
      </c>
      <c r="G363" s="42" t="s">
        <v>2833</v>
      </c>
      <c r="H363" s="42" t="s">
        <v>2834</v>
      </c>
      <c r="I363" s="42" t="s">
        <v>3740</v>
      </c>
      <c r="J363" s="42" t="s">
        <v>25</v>
      </c>
      <c r="K363" s="42" t="n">
        <v>0</v>
      </c>
      <c r="L363" s="42" t="n">
        <v>0</v>
      </c>
      <c r="M363" s="42" t="s">
        <v>3741</v>
      </c>
      <c r="N363" s="42"/>
      <c r="O363" s="41"/>
      <c r="P363" s="41"/>
      <c r="Q363" s="41"/>
    </row>
    <row r="364" customFormat="false" ht="39" hidden="false" customHeight="true" outlineLevel="0" collapsed="false">
      <c r="A364" s="42" t="n">
        <v>360</v>
      </c>
      <c r="B364" s="42" t="s">
        <v>3796</v>
      </c>
      <c r="C364" s="42" t="s">
        <v>4104</v>
      </c>
      <c r="D364" s="42" t="s">
        <v>523</v>
      </c>
      <c r="E364" s="42" t="s">
        <v>524</v>
      </c>
      <c r="F364" s="42" t="n">
        <v>2026</v>
      </c>
      <c r="G364" s="42" t="s">
        <v>525</v>
      </c>
      <c r="H364" s="42" t="s">
        <v>526</v>
      </c>
      <c r="I364" s="42" t="s">
        <v>3743</v>
      </c>
      <c r="J364" s="42" t="s">
        <v>25</v>
      </c>
      <c r="K364" s="42" t="n">
        <v>0</v>
      </c>
      <c r="L364" s="42" t="n">
        <v>0</v>
      </c>
      <c r="M364" s="42" t="s">
        <v>3741</v>
      </c>
      <c r="N364" s="42"/>
      <c r="O364" s="41"/>
      <c r="P364" s="41"/>
      <c r="Q364" s="41"/>
    </row>
    <row r="365" customFormat="false" ht="39" hidden="false" customHeight="true" outlineLevel="0" collapsed="false">
      <c r="A365" s="42" t="n">
        <v>361</v>
      </c>
      <c r="B365" s="42" t="s">
        <v>3796</v>
      </c>
      <c r="C365" s="42" t="s">
        <v>4105</v>
      </c>
      <c r="D365" s="42" t="s">
        <v>2840</v>
      </c>
      <c r="E365" s="42" t="s">
        <v>2841</v>
      </c>
      <c r="F365" s="42" t="n">
        <v>2026</v>
      </c>
      <c r="G365" s="42" t="s">
        <v>2842</v>
      </c>
      <c r="H365" s="42" t="s">
        <v>2843</v>
      </c>
      <c r="I365" s="42" t="s">
        <v>3740</v>
      </c>
      <c r="J365" s="42" t="s">
        <v>25</v>
      </c>
      <c r="K365" s="42" t="n">
        <v>0</v>
      </c>
      <c r="L365" s="42" t="n">
        <v>0</v>
      </c>
      <c r="M365" s="42" t="s">
        <v>3741</v>
      </c>
      <c r="N365" s="42"/>
      <c r="O365" s="41"/>
      <c r="P365" s="41"/>
      <c r="Q365" s="41"/>
    </row>
    <row r="366" customFormat="false" ht="51.75" hidden="false" customHeight="true" outlineLevel="0" collapsed="false">
      <c r="A366" s="42" t="n">
        <v>362</v>
      </c>
      <c r="B366" s="42" t="s">
        <v>3796</v>
      </c>
      <c r="C366" s="42" t="s">
        <v>4106</v>
      </c>
      <c r="D366" s="42" t="s">
        <v>554</v>
      </c>
      <c r="E366" s="42" t="s">
        <v>555</v>
      </c>
      <c r="F366" s="42" t="n">
        <v>2026</v>
      </c>
      <c r="G366" s="42" t="s">
        <v>81</v>
      </c>
      <c r="H366" s="42" t="s">
        <v>556</v>
      </c>
      <c r="I366" s="42" t="s">
        <v>3743</v>
      </c>
      <c r="J366" s="42" t="s">
        <v>25</v>
      </c>
      <c r="K366" s="42" t="n">
        <v>0</v>
      </c>
      <c r="L366" s="42" t="n">
        <v>0</v>
      </c>
      <c r="M366" s="42" t="s">
        <v>3741</v>
      </c>
      <c r="N366" s="42"/>
      <c r="O366" s="41"/>
      <c r="P366" s="41"/>
      <c r="Q366" s="41"/>
    </row>
    <row r="367" customFormat="false" ht="39" hidden="false" customHeight="true" outlineLevel="0" collapsed="false">
      <c r="A367" s="42" t="n">
        <v>363</v>
      </c>
      <c r="B367" s="42" t="s">
        <v>3796</v>
      </c>
      <c r="C367" s="42" t="s">
        <v>4107</v>
      </c>
      <c r="D367" s="42" t="s">
        <v>559</v>
      </c>
      <c r="E367" s="42" t="s">
        <v>560</v>
      </c>
      <c r="F367" s="42" t="n">
        <v>2026</v>
      </c>
      <c r="G367" s="42" t="s">
        <v>130</v>
      </c>
      <c r="H367" s="42" t="s">
        <v>561</v>
      </c>
      <c r="I367" s="42" t="s">
        <v>3743</v>
      </c>
      <c r="J367" s="42" t="s">
        <v>25</v>
      </c>
      <c r="K367" s="42" t="n">
        <v>0</v>
      </c>
      <c r="L367" s="42" t="n">
        <v>0</v>
      </c>
      <c r="M367" s="42" t="s">
        <v>3741</v>
      </c>
      <c r="N367" s="42"/>
      <c r="O367" s="41"/>
      <c r="P367" s="41"/>
      <c r="Q367" s="41"/>
    </row>
    <row r="368" customFormat="false" ht="90.75" hidden="false" customHeight="true" outlineLevel="0" collapsed="false">
      <c r="A368" s="42" t="n">
        <v>364</v>
      </c>
      <c r="B368" s="42" t="s">
        <v>3796</v>
      </c>
      <c r="C368" s="42" t="s">
        <v>4108</v>
      </c>
      <c r="D368" s="42" t="s">
        <v>325</v>
      </c>
      <c r="E368" s="42" t="s">
        <v>324</v>
      </c>
      <c r="F368" s="42" t="n">
        <v>2026</v>
      </c>
      <c r="G368" s="42" t="s">
        <v>326</v>
      </c>
      <c r="H368" s="42" t="s">
        <v>327</v>
      </c>
      <c r="I368" s="42" t="s">
        <v>409</v>
      </c>
      <c r="J368" s="42" t="s">
        <v>25</v>
      </c>
      <c r="K368" s="42" t="n">
        <v>0</v>
      </c>
      <c r="L368" s="42" t="n">
        <v>0</v>
      </c>
      <c r="M368" s="42" t="s">
        <v>3741</v>
      </c>
      <c r="N368" s="42"/>
      <c r="O368" s="41"/>
      <c r="P368" s="41"/>
      <c r="Q368" s="41"/>
    </row>
    <row r="369" customFormat="false" ht="25.5" hidden="false" customHeight="true" outlineLevel="0" collapsed="false">
      <c r="A369" s="42" t="n">
        <v>365</v>
      </c>
      <c r="B369" s="42" t="s">
        <v>3796</v>
      </c>
      <c r="C369" s="42" t="s">
        <v>4109</v>
      </c>
      <c r="D369" s="42" t="s">
        <v>318</v>
      </c>
      <c r="E369" s="42" t="s">
        <v>317</v>
      </c>
      <c r="F369" s="42" t="n">
        <v>2026</v>
      </c>
      <c r="G369" s="42" t="s">
        <v>306</v>
      </c>
      <c r="H369" s="42" t="s">
        <v>319</v>
      </c>
      <c r="I369" s="42" t="s">
        <v>3740</v>
      </c>
      <c r="J369" s="42" t="s">
        <v>25</v>
      </c>
      <c r="K369" s="42" t="n">
        <v>0</v>
      </c>
      <c r="L369" s="42" t="n">
        <v>0</v>
      </c>
      <c r="M369" s="42" t="s">
        <v>3741</v>
      </c>
      <c r="N369" s="42"/>
      <c r="O369" s="41"/>
      <c r="P369" s="41"/>
      <c r="Q369" s="41"/>
    </row>
    <row r="370" customFormat="false" ht="39" hidden="false" customHeight="true" outlineLevel="0" collapsed="false">
      <c r="A370" s="42" t="n">
        <v>366</v>
      </c>
      <c r="B370" s="42" t="s">
        <v>3796</v>
      </c>
      <c r="C370" s="42" t="s">
        <v>4110</v>
      </c>
      <c r="D370" s="42" t="s">
        <v>584</v>
      </c>
      <c r="E370" s="42" t="s">
        <v>585</v>
      </c>
      <c r="F370" s="42" t="n">
        <v>2026</v>
      </c>
      <c r="G370" s="42" t="s">
        <v>586</v>
      </c>
      <c r="H370" s="42" t="s">
        <v>587</v>
      </c>
      <c r="I370" s="42" t="s">
        <v>3743</v>
      </c>
      <c r="J370" s="42" t="s">
        <v>25</v>
      </c>
      <c r="K370" s="42" t="n">
        <v>0</v>
      </c>
      <c r="L370" s="42" t="n">
        <v>0</v>
      </c>
      <c r="M370" s="42" t="s">
        <v>3741</v>
      </c>
      <c r="N370" s="42"/>
      <c r="O370" s="41"/>
      <c r="P370" s="41"/>
      <c r="Q370" s="41"/>
    </row>
    <row r="371" customFormat="false" ht="39" hidden="false" customHeight="true" outlineLevel="0" collapsed="false">
      <c r="A371" s="42" t="n">
        <v>367</v>
      </c>
      <c r="B371" s="42" t="s">
        <v>3796</v>
      </c>
      <c r="C371" s="42" t="s">
        <v>4111</v>
      </c>
      <c r="D371" s="42" t="s">
        <v>607</v>
      </c>
      <c r="E371" s="42" t="s">
        <v>608</v>
      </c>
      <c r="F371" s="42" t="n">
        <v>2026</v>
      </c>
      <c r="G371" s="42" t="s">
        <v>130</v>
      </c>
      <c r="H371" s="42" t="s">
        <v>609</v>
      </c>
      <c r="I371" s="42" t="s">
        <v>3743</v>
      </c>
      <c r="J371" s="42" t="s">
        <v>25</v>
      </c>
      <c r="K371" s="42" t="n">
        <v>0</v>
      </c>
      <c r="L371" s="42" t="n">
        <v>0</v>
      </c>
      <c r="M371" s="42" t="s">
        <v>3741</v>
      </c>
      <c r="N371" s="42"/>
      <c r="O371" s="41"/>
      <c r="P371" s="41"/>
      <c r="Q371" s="41"/>
    </row>
    <row r="372" customFormat="false" ht="51.75" hidden="false" customHeight="true" outlineLevel="0" collapsed="false">
      <c r="A372" s="42" t="n">
        <v>368</v>
      </c>
      <c r="B372" s="42" t="s">
        <v>3796</v>
      </c>
      <c r="C372" s="42" t="s">
        <v>4112</v>
      </c>
      <c r="D372" s="42" t="s">
        <v>2862</v>
      </c>
      <c r="E372" s="42" t="s">
        <v>2863</v>
      </c>
      <c r="F372" s="42" t="n">
        <v>2026</v>
      </c>
      <c r="G372" s="42" t="s">
        <v>2864</v>
      </c>
      <c r="H372" s="42" t="s">
        <v>2865</v>
      </c>
      <c r="I372" s="42" t="s">
        <v>3740</v>
      </c>
      <c r="J372" s="42" t="s">
        <v>25</v>
      </c>
      <c r="K372" s="42" t="n">
        <v>0</v>
      </c>
      <c r="L372" s="42" t="n">
        <v>0</v>
      </c>
      <c r="M372" s="42" t="s">
        <v>3741</v>
      </c>
      <c r="N372" s="42"/>
      <c r="O372" s="41"/>
      <c r="P372" s="41"/>
      <c r="Q372" s="41"/>
    </row>
    <row r="373" customFormat="false" ht="39" hidden="false" customHeight="true" outlineLevel="0" collapsed="false">
      <c r="A373" s="42" t="n">
        <v>369</v>
      </c>
      <c r="B373" s="42" t="s">
        <v>3796</v>
      </c>
      <c r="C373" s="42" t="s">
        <v>4113</v>
      </c>
      <c r="D373" s="42" t="s">
        <v>612</v>
      </c>
      <c r="E373" s="42" t="s">
        <v>613</v>
      </c>
      <c r="F373" s="42" t="n">
        <v>2026</v>
      </c>
      <c r="G373" s="42" t="s">
        <v>614</v>
      </c>
      <c r="H373" s="42" t="s">
        <v>615</v>
      </c>
      <c r="I373" s="42" t="s">
        <v>409</v>
      </c>
      <c r="J373" s="42" t="s">
        <v>25</v>
      </c>
      <c r="K373" s="42" t="n">
        <v>0</v>
      </c>
      <c r="L373" s="42" t="n">
        <v>0</v>
      </c>
      <c r="M373" s="42" t="s">
        <v>3741</v>
      </c>
      <c r="N373" s="42"/>
      <c r="O373" s="41"/>
      <c r="P373" s="41"/>
      <c r="Q373" s="41"/>
    </row>
    <row r="374" customFormat="false" ht="64.5" hidden="false" customHeight="true" outlineLevel="0" collapsed="false">
      <c r="A374" s="42" t="n">
        <v>370</v>
      </c>
      <c r="B374" s="42" t="s">
        <v>3796</v>
      </c>
      <c r="C374" s="42" t="s">
        <v>4114</v>
      </c>
      <c r="D374" s="42" t="s">
        <v>623</v>
      </c>
      <c r="E374" s="42" t="s">
        <v>624</v>
      </c>
      <c r="F374" s="42" t="n">
        <v>2026</v>
      </c>
      <c r="G374" s="42" t="s">
        <v>254</v>
      </c>
      <c r="H374" s="42" t="s">
        <v>625</v>
      </c>
      <c r="I374" s="42" t="s">
        <v>3743</v>
      </c>
      <c r="J374" s="42" t="s">
        <v>25</v>
      </c>
      <c r="K374" s="42" t="n">
        <v>0</v>
      </c>
      <c r="L374" s="42" t="n">
        <v>0</v>
      </c>
      <c r="M374" s="42" t="s">
        <v>3741</v>
      </c>
      <c r="N374" s="42"/>
      <c r="O374" s="41"/>
      <c r="P374" s="41"/>
      <c r="Q374" s="41"/>
    </row>
    <row r="375" customFormat="false" ht="51.75" hidden="false" customHeight="true" outlineLevel="0" collapsed="false">
      <c r="A375" s="42" t="n">
        <v>371</v>
      </c>
      <c r="B375" s="42" t="s">
        <v>3796</v>
      </c>
      <c r="C375" s="42" t="s">
        <v>4115</v>
      </c>
      <c r="D375" s="42" t="s">
        <v>321</v>
      </c>
      <c r="E375" s="42" t="s">
        <v>320</v>
      </c>
      <c r="F375" s="42" t="n">
        <v>2026</v>
      </c>
      <c r="G375" s="42" t="s">
        <v>322</v>
      </c>
      <c r="H375" s="42" t="s">
        <v>323</v>
      </c>
      <c r="I375" s="42" t="s">
        <v>3767</v>
      </c>
      <c r="J375" s="42" t="s">
        <v>25</v>
      </c>
      <c r="K375" s="42" t="n">
        <v>0</v>
      </c>
      <c r="L375" s="42" t="n">
        <v>0</v>
      </c>
      <c r="M375" s="42" t="s">
        <v>3741</v>
      </c>
      <c r="N375" s="42"/>
      <c r="O375" s="41"/>
      <c r="P375" s="41"/>
      <c r="Q375" s="41"/>
    </row>
    <row r="376" customFormat="false" ht="39" hidden="false" customHeight="true" outlineLevel="0" collapsed="false">
      <c r="A376" s="42" t="n">
        <v>372</v>
      </c>
      <c r="B376" s="42" t="s">
        <v>3796</v>
      </c>
      <c r="C376" s="42" t="s">
        <v>4116</v>
      </c>
      <c r="D376" s="42" t="s">
        <v>2871</v>
      </c>
      <c r="E376" s="42" t="s">
        <v>2872</v>
      </c>
      <c r="F376" s="42" t="n">
        <v>2026</v>
      </c>
      <c r="G376" s="42" t="s">
        <v>2826</v>
      </c>
      <c r="H376" s="42" t="s">
        <v>2873</v>
      </c>
      <c r="I376" s="42" t="s">
        <v>3740</v>
      </c>
      <c r="J376" s="42" t="s">
        <v>25</v>
      </c>
      <c r="K376" s="42" t="n">
        <v>0</v>
      </c>
      <c r="L376" s="42" t="n">
        <v>0</v>
      </c>
      <c r="M376" s="42" t="s">
        <v>3741</v>
      </c>
      <c r="N376" s="42"/>
      <c r="O376" s="41"/>
      <c r="P376" s="41"/>
      <c r="Q376" s="41"/>
    </row>
    <row r="377" customFormat="false" ht="64.5" hidden="false" customHeight="true" outlineLevel="0" collapsed="false">
      <c r="A377" s="42" t="n">
        <v>373</v>
      </c>
      <c r="B377" s="42" t="s">
        <v>3796</v>
      </c>
      <c r="C377" s="42" t="s">
        <v>4117</v>
      </c>
      <c r="D377" s="42" t="s">
        <v>648</v>
      </c>
      <c r="E377" s="42" t="s">
        <v>649</v>
      </c>
      <c r="F377" s="42" t="n">
        <v>2026</v>
      </c>
      <c r="G377" s="42" t="s">
        <v>650</v>
      </c>
      <c r="H377" s="42" t="s">
        <v>651</v>
      </c>
      <c r="I377" s="42" t="s">
        <v>3743</v>
      </c>
      <c r="J377" s="42" t="s">
        <v>25</v>
      </c>
      <c r="K377" s="42" t="n">
        <v>0</v>
      </c>
      <c r="L377" s="42" t="n">
        <v>0</v>
      </c>
      <c r="M377" s="42" t="s">
        <v>3741</v>
      </c>
      <c r="N377" s="42"/>
      <c r="O377" s="41"/>
      <c r="P377" s="41"/>
      <c r="Q377" s="41"/>
    </row>
    <row r="378" customFormat="false" ht="51.75" hidden="false" customHeight="true" outlineLevel="0" collapsed="false">
      <c r="A378" s="42" t="n">
        <v>374</v>
      </c>
      <c r="B378" s="42" t="s">
        <v>3796</v>
      </c>
      <c r="C378" s="42" t="s">
        <v>4118</v>
      </c>
      <c r="D378" s="42" t="s">
        <v>2884</v>
      </c>
      <c r="E378" s="42" t="s">
        <v>2885</v>
      </c>
      <c r="F378" s="42" t="n">
        <v>2026</v>
      </c>
      <c r="G378" s="42" t="s">
        <v>188</v>
      </c>
      <c r="H378" s="42" t="s">
        <v>2886</v>
      </c>
      <c r="I378" s="42" t="s">
        <v>3740</v>
      </c>
      <c r="J378" s="42" t="s">
        <v>25</v>
      </c>
      <c r="K378" s="42" t="n">
        <v>0</v>
      </c>
      <c r="L378" s="42" t="n">
        <v>0</v>
      </c>
      <c r="M378" s="42" t="s">
        <v>3741</v>
      </c>
      <c r="N378" s="42"/>
      <c r="O378" s="41"/>
      <c r="P378" s="41"/>
      <c r="Q378" s="41"/>
    </row>
    <row r="379" customFormat="false" ht="78" hidden="false" customHeight="true" outlineLevel="0" collapsed="false">
      <c r="A379" s="42" t="n">
        <v>375</v>
      </c>
      <c r="B379" s="42" t="s">
        <v>3796</v>
      </c>
      <c r="C379" s="42" t="s">
        <v>4119</v>
      </c>
      <c r="D379" s="42" t="s">
        <v>669</v>
      </c>
      <c r="E379" s="42" t="s">
        <v>670</v>
      </c>
      <c r="F379" s="42" t="n">
        <v>2026</v>
      </c>
      <c r="G379" s="42" t="s">
        <v>671</v>
      </c>
      <c r="H379" s="42" t="s">
        <v>672</v>
      </c>
      <c r="I379" s="42" t="s">
        <v>409</v>
      </c>
      <c r="J379" s="42" t="s">
        <v>25</v>
      </c>
      <c r="K379" s="42" t="n">
        <v>0</v>
      </c>
      <c r="L379" s="42" t="n">
        <v>0</v>
      </c>
      <c r="M379" s="42" t="s">
        <v>3741</v>
      </c>
      <c r="N379" s="42"/>
      <c r="O379" s="41"/>
      <c r="P379" s="41"/>
      <c r="Q379" s="41"/>
    </row>
    <row r="380" customFormat="false" ht="39" hidden="false" customHeight="true" outlineLevel="0" collapsed="false">
      <c r="A380" s="42" t="n">
        <v>376</v>
      </c>
      <c r="B380" s="42" t="s">
        <v>3796</v>
      </c>
      <c r="C380" s="42" t="s">
        <v>4120</v>
      </c>
      <c r="D380" s="42" t="s">
        <v>675</v>
      </c>
      <c r="E380" s="42" t="s">
        <v>676</v>
      </c>
      <c r="F380" s="42" t="n">
        <v>2026</v>
      </c>
      <c r="G380" s="42" t="s">
        <v>81</v>
      </c>
      <c r="H380" s="42" t="s">
        <v>677</v>
      </c>
      <c r="I380" s="42" t="s">
        <v>3743</v>
      </c>
      <c r="J380" s="42" t="s">
        <v>25</v>
      </c>
      <c r="K380" s="42" t="n">
        <v>0</v>
      </c>
      <c r="L380" s="42" t="n">
        <v>0</v>
      </c>
      <c r="M380" s="42" t="s">
        <v>3741</v>
      </c>
      <c r="N380" s="42"/>
      <c r="O380" s="41"/>
      <c r="P380" s="41"/>
      <c r="Q380" s="41"/>
    </row>
    <row r="381" customFormat="false" ht="39" hidden="false" customHeight="true" outlineLevel="0" collapsed="false">
      <c r="A381" s="42" t="n">
        <v>377</v>
      </c>
      <c r="B381" s="42" t="s">
        <v>3796</v>
      </c>
      <c r="C381" s="42" t="s">
        <v>4121</v>
      </c>
      <c r="D381" s="42" t="s">
        <v>691</v>
      </c>
      <c r="E381" s="42" t="s">
        <v>692</v>
      </c>
      <c r="F381" s="42" t="n">
        <v>2026</v>
      </c>
      <c r="G381" s="42" t="s">
        <v>693</v>
      </c>
      <c r="H381" s="42" t="s">
        <v>694</v>
      </c>
      <c r="I381" s="42" t="s">
        <v>3743</v>
      </c>
      <c r="J381" s="42" t="s">
        <v>25</v>
      </c>
      <c r="K381" s="42" t="n">
        <v>0</v>
      </c>
      <c r="L381" s="42" t="n">
        <v>0</v>
      </c>
      <c r="M381" s="42" t="s">
        <v>3741</v>
      </c>
      <c r="N381" s="42"/>
      <c r="O381" s="41"/>
      <c r="P381" s="41"/>
      <c r="Q381" s="41"/>
    </row>
    <row r="382" customFormat="false" ht="51.75" hidden="false" customHeight="true" outlineLevel="0" collapsed="false">
      <c r="A382" s="42" t="n">
        <v>378</v>
      </c>
      <c r="B382" s="42" t="s">
        <v>3796</v>
      </c>
      <c r="C382" s="42" t="s">
        <v>4122</v>
      </c>
      <c r="D382" s="42" t="s">
        <v>715</v>
      </c>
      <c r="E382" s="42" t="s">
        <v>716</v>
      </c>
      <c r="F382" s="42" t="n">
        <v>2026</v>
      </c>
      <c r="G382" s="42" t="s">
        <v>717</v>
      </c>
      <c r="H382" s="42" t="s">
        <v>718</v>
      </c>
      <c r="I382" s="42" t="s">
        <v>3743</v>
      </c>
      <c r="J382" s="42" t="s">
        <v>25</v>
      </c>
      <c r="K382" s="42" t="n">
        <v>0</v>
      </c>
      <c r="L382" s="42" t="n">
        <v>0</v>
      </c>
      <c r="M382" s="42" t="s">
        <v>3741</v>
      </c>
      <c r="N382" s="42"/>
      <c r="O382" s="41"/>
      <c r="P382" s="41"/>
      <c r="Q382" s="41"/>
    </row>
    <row r="383" customFormat="false" ht="39" hidden="false" customHeight="true" outlineLevel="0" collapsed="false">
      <c r="A383" s="42" t="n">
        <v>379</v>
      </c>
      <c r="B383" s="42" t="s">
        <v>3796</v>
      </c>
      <c r="C383" s="42" t="s">
        <v>4123</v>
      </c>
      <c r="D383" s="42" t="s">
        <v>747</v>
      </c>
      <c r="E383" s="42" t="s">
        <v>748</v>
      </c>
      <c r="F383" s="42" t="n">
        <v>2025</v>
      </c>
      <c r="G383" s="42" t="s">
        <v>107</v>
      </c>
      <c r="H383" s="42" t="s">
        <v>749</v>
      </c>
      <c r="I383" s="42" t="s">
        <v>409</v>
      </c>
      <c r="J383" s="42" t="s">
        <v>25</v>
      </c>
      <c r="K383" s="42" t="n">
        <v>0</v>
      </c>
      <c r="L383" s="42" t="n">
        <v>0</v>
      </c>
      <c r="M383" s="42" t="s">
        <v>3741</v>
      </c>
      <c r="N383" s="42"/>
      <c r="O383" s="41"/>
      <c r="P383" s="41"/>
      <c r="Q383" s="41"/>
    </row>
    <row r="384" customFormat="false" ht="64.5" hidden="false" customHeight="true" outlineLevel="0" collapsed="false">
      <c r="A384" s="42" t="n">
        <v>380</v>
      </c>
      <c r="B384" s="42" t="s">
        <v>3796</v>
      </c>
      <c r="C384" s="42" t="s">
        <v>4124</v>
      </c>
      <c r="D384" s="42" t="s">
        <v>757</v>
      </c>
      <c r="E384" s="42" t="s">
        <v>758</v>
      </c>
      <c r="F384" s="42" t="n">
        <v>2025</v>
      </c>
      <c r="G384" s="42" t="s">
        <v>107</v>
      </c>
      <c r="H384" s="42" t="s">
        <v>759</v>
      </c>
      <c r="I384" s="42" t="s">
        <v>409</v>
      </c>
      <c r="J384" s="42" t="s">
        <v>25</v>
      </c>
      <c r="K384" s="42" t="n">
        <v>0</v>
      </c>
      <c r="L384" s="42" t="n">
        <v>0</v>
      </c>
      <c r="M384" s="42" t="s">
        <v>3741</v>
      </c>
      <c r="N384" s="42"/>
      <c r="O384" s="41"/>
      <c r="P384" s="41"/>
      <c r="Q384" s="41"/>
    </row>
    <row r="385" customFormat="false" ht="25.5" hidden="false" customHeight="true" outlineLevel="0" collapsed="false">
      <c r="A385" s="42" t="n">
        <v>381</v>
      </c>
      <c r="B385" s="42" t="s">
        <v>3796</v>
      </c>
      <c r="C385" s="42" t="s">
        <v>4125</v>
      </c>
      <c r="D385" s="42" t="s">
        <v>792</v>
      </c>
      <c r="E385" s="42" t="s">
        <v>793</v>
      </c>
      <c r="F385" s="42" t="n">
        <v>2025</v>
      </c>
      <c r="G385" s="42" t="s">
        <v>276</v>
      </c>
      <c r="H385" s="42" t="s">
        <v>794</v>
      </c>
      <c r="I385" s="42" t="s">
        <v>409</v>
      </c>
      <c r="J385" s="42" t="s">
        <v>25</v>
      </c>
      <c r="K385" s="42" t="n">
        <v>0</v>
      </c>
      <c r="L385" s="42" t="n">
        <v>0</v>
      </c>
      <c r="M385" s="42" t="s">
        <v>3741</v>
      </c>
      <c r="N385" s="42"/>
      <c r="O385" s="41"/>
      <c r="P385" s="41"/>
      <c r="Q385" s="41"/>
    </row>
    <row r="386" customFormat="false" ht="39" hidden="false" customHeight="true" outlineLevel="0" collapsed="false">
      <c r="A386" s="42" t="n">
        <v>382</v>
      </c>
      <c r="B386" s="42" t="s">
        <v>3796</v>
      </c>
      <c r="C386" s="42" t="s">
        <v>4126</v>
      </c>
      <c r="D386" s="42" t="s">
        <v>329</v>
      </c>
      <c r="E386" s="42" t="s">
        <v>328</v>
      </c>
      <c r="F386" s="42" t="n">
        <v>2025</v>
      </c>
      <c r="G386" s="42" t="s">
        <v>276</v>
      </c>
      <c r="H386" s="42" t="s">
        <v>330</v>
      </c>
      <c r="I386" s="42" t="s">
        <v>409</v>
      </c>
      <c r="J386" s="42" t="s">
        <v>25</v>
      </c>
      <c r="K386" s="42" t="n">
        <v>0</v>
      </c>
      <c r="L386" s="42" t="n">
        <v>0</v>
      </c>
      <c r="M386" s="42" t="s">
        <v>3741</v>
      </c>
      <c r="N386" s="42"/>
      <c r="O386" s="41"/>
      <c r="P386" s="41"/>
      <c r="Q386" s="41"/>
    </row>
    <row r="387" customFormat="false" ht="64.5" hidden="false" customHeight="true" outlineLevel="0" collapsed="false">
      <c r="A387" s="42" t="n">
        <v>383</v>
      </c>
      <c r="B387" s="42" t="s">
        <v>3796</v>
      </c>
      <c r="C387" s="42" t="s">
        <v>4127</v>
      </c>
      <c r="D387" s="42" t="s">
        <v>122</v>
      </c>
      <c r="E387" s="42" t="s">
        <v>812</v>
      </c>
      <c r="F387" s="42" t="n">
        <v>2025</v>
      </c>
      <c r="G387" s="42" t="s">
        <v>107</v>
      </c>
      <c r="H387" s="42" t="s">
        <v>813</v>
      </c>
      <c r="I387" s="42" t="s">
        <v>409</v>
      </c>
      <c r="J387" s="42" t="s">
        <v>25</v>
      </c>
      <c r="K387" s="42" t="n">
        <v>0</v>
      </c>
      <c r="L387" s="42" t="n">
        <v>0</v>
      </c>
      <c r="M387" s="42" t="s">
        <v>3741</v>
      </c>
      <c r="N387" s="42"/>
      <c r="O387" s="41"/>
      <c r="P387" s="41"/>
      <c r="Q387" s="41"/>
    </row>
    <row r="388" customFormat="false" ht="51.75" hidden="false" customHeight="true" outlineLevel="0" collapsed="false">
      <c r="A388" s="42" t="n">
        <v>384</v>
      </c>
      <c r="B388" s="42" t="s">
        <v>3796</v>
      </c>
      <c r="C388" s="42" t="s">
        <v>4128</v>
      </c>
      <c r="D388" s="42" t="s">
        <v>379</v>
      </c>
      <c r="E388" s="42" t="s">
        <v>378</v>
      </c>
      <c r="F388" s="42" t="n">
        <v>2025</v>
      </c>
      <c r="G388" s="42" t="s">
        <v>380</v>
      </c>
      <c r="H388" s="42" t="s">
        <v>381</v>
      </c>
      <c r="I388" s="42" t="s">
        <v>3767</v>
      </c>
      <c r="J388" s="42" t="s">
        <v>25</v>
      </c>
      <c r="K388" s="42" t="n">
        <v>0</v>
      </c>
      <c r="L388" s="42" t="n">
        <v>0</v>
      </c>
      <c r="M388" s="42" t="s">
        <v>3741</v>
      </c>
      <c r="N388" s="42"/>
      <c r="O388" s="41"/>
      <c r="P388" s="41"/>
      <c r="Q388" s="41"/>
    </row>
    <row r="389" customFormat="false" ht="39" hidden="false" customHeight="true" outlineLevel="0" collapsed="false">
      <c r="A389" s="42" t="n">
        <v>385</v>
      </c>
      <c r="B389" s="42" t="s">
        <v>3796</v>
      </c>
      <c r="C389" s="42" t="s">
        <v>4129</v>
      </c>
      <c r="D389" s="42" t="s">
        <v>3449</v>
      </c>
      <c r="E389" s="42" t="s">
        <v>3450</v>
      </c>
      <c r="F389" s="42" t="n">
        <v>2025</v>
      </c>
      <c r="G389" s="42" t="s">
        <v>3451</v>
      </c>
      <c r="H389" s="42" t="s">
        <v>3452</v>
      </c>
      <c r="I389" s="42" t="s">
        <v>484</v>
      </c>
      <c r="J389" s="42" t="s">
        <v>25</v>
      </c>
      <c r="K389" s="42" t="n">
        <v>0</v>
      </c>
      <c r="L389" s="42" t="n">
        <v>0</v>
      </c>
      <c r="M389" s="42" t="s">
        <v>3741</v>
      </c>
      <c r="N389" s="42"/>
      <c r="O389" s="41"/>
      <c r="P389" s="41"/>
      <c r="Q389" s="41"/>
    </row>
    <row r="390" customFormat="false" ht="39" hidden="false" customHeight="true" outlineLevel="0" collapsed="false">
      <c r="A390" s="42" t="n">
        <v>386</v>
      </c>
      <c r="B390" s="42" t="s">
        <v>3796</v>
      </c>
      <c r="C390" s="42" t="s">
        <v>4130</v>
      </c>
      <c r="D390" s="42" t="s">
        <v>828</v>
      </c>
      <c r="E390" s="42" t="s">
        <v>829</v>
      </c>
      <c r="F390" s="42" t="n">
        <v>2025</v>
      </c>
      <c r="G390" s="42" t="s">
        <v>830</v>
      </c>
      <c r="H390" s="42" t="s">
        <v>831</v>
      </c>
      <c r="I390" s="42" t="s">
        <v>409</v>
      </c>
      <c r="J390" s="42" t="s">
        <v>25</v>
      </c>
      <c r="K390" s="42" t="n">
        <v>0</v>
      </c>
      <c r="L390" s="42" t="n">
        <v>0</v>
      </c>
      <c r="M390" s="42" t="s">
        <v>3741</v>
      </c>
      <c r="N390" s="42"/>
      <c r="O390" s="41"/>
      <c r="P390" s="41"/>
      <c r="Q390" s="41"/>
    </row>
    <row r="391" customFormat="false" ht="39" hidden="false" customHeight="true" outlineLevel="0" collapsed="false">
      <c r="A391" s="42" t="n">
        <v>387</v>
      </c>
      <c r="B391" s="42" t="s">
        <v>3796</v>
      </c>
      <c r="C391" s="42" t="s">
        <v>4131</v>
      </c>
      <c r="D391" s="42" t="s">
        <v>845</v>
      </c>
      <c r="E391" s="42" t="s">
        <v>846</v>
      </c>
      <c r="F391" s="42" t="n">
        <v>2025</v>
      </c>
      <c r="G391" s="42" t="s">
        <v>847</v>
      </c>
      <c r="H391" s="42" t="s">
        <v>848</v>
      </c>
      <c r="I391" s="42" t="s">
        <v>409</v>
      </c>
      <c r="J391" s="42" t="s">
        <v>25</v>
      </c>
      <c r="K391" s="42" t="n">
        <v>0</v>
      </c>
      <c r="L391" s="42" t="n">
        <v>0</v>
      </c>
      <c r="M391" s="42" t="s">
        <v>3741</v>
      </c>
      <c r="N391" s="42"/>
      <c r="O391" s="41"/>
      <c r="P391" s="41"/>
      <c r="Q391" s="41"/>
    </row>
    <row r="392" customFormat="false" ht="78" hidden="false" customHeight="true" outlineLevel="0" collapsed="false">
      <c r="A392" s="42" t="n">
        <v>388</v>
      </c>
      <c r="B392" s="42" t="s">
        <v>3796</v>
      </c>
      <c r="C392" s="42" t="s">
        <v>4132</v>
      </c>
      <c r="D392" s="42" t="s">
        <v>2947</v>
      </c>
      <c r="E392" s="42" t="s">
        <v>2948</v>
      </c>
      <c r="F392" s="42" t="n">
        <v>2025</v>
      </c>
      <c r="G392" s="42" t="s">
        <v>2853</v>
      </c>
      <c r="H392" s="42" t="s">
        <v>2949</v>
      </c>
      <c r="I392" s="42" t="s">
        <v>3740</v>
      </c>
      <c r="J392" s="42" t="s">
        <v>25</v>
      </c>
      <c r="K392" s="42" t="n">
        <v>0</v>
      </c>
      <c r="L392" s="42" t="n">
        <v>0</v>
      </c>
      <c r="M392" s="42" t="s">
        <v>3741</v>
      </c>
      <c r="N392" s="42"/>
      <c r="O392" s="41"/>
      <c r="P392" s="41"/>
      <c r="Q392" s="41"/>
    </row>
    <row r="393" customFormat="false" ht="39" hidden="false" customHeight="true" outlineLevel="0" collapsed="false">
      <c r="A393" s="42" t="n">
        <v>389</v>
      </c>
      <c r="B393" s="42" t="s">
        <v>3796</v>
      </c>
      <c r="C393" s="42" t="s">
        <v>4133</v>
      </c>
      <c r="D393" s="42" t="s">
        <v>2952</v>
      </c>
      <c r="E393" s="42" t="s">
        <v>2953</v>
      </c>
      <c r="F393" s="42" t="n">
        <v>2025</v>
      </c>
      <c r="G393" s="42" t="s">
        <v>2826</v>
      </c>
      <c r="H393" s="42" t="s">
        <v>2954</v>
      </c>
      <c r="I393" s="42" t="s">
        <v>3740</v>
      </c>
      <c r="J393" s="42" t="s">
        <v>25</v>
      </c>
      <c r="K393" s="42" t="n">
        <v>0</v>
      </c>
      <c r="L393" s="42" t="n">
        <v>0</v>
      </c>
      <c r="M393" s="42" t="s">
        <v>3741</v>
      </c>
      <c r="N393" s="42"/>
      <c r="O393" s="41"/>
      <c r="P393" s="41"/>
      <c r="Q393" s="41"/>
    </row>
    <row r="394" customFormat="false" ht="39" hidden="false" customHeight="true" outlineLevel="0" collapsed="false">
      <c r="A394" s="42" t="n">
        <v>390</v>
      </c>
      <c r="B394" s="42" t="s">
        <v>3796</v>
      </c>
      <c r="C394" s="42" t="s">
        <v>4134</v>
      </c>
      <c r="D394" s="42" t="s">
        <v>375</v>
      </c>
      <c r="E394" s="42" t="s">
        <v>374</v>
      </c>
      <c r="F394" s="42" t="n">
        <v>2025</v>
      </c>
      <c r="G394" s="42" t="s">
        <v>376</v>
      </c>
      <c r="H394" s="42" t="s">
        <v>377</v>
      </c>
      <c r="I394" s="42" t="s">
        <v>409</v>
      </c>
      <c r="J394" s="42" t="s">
        <v>25</v>
      </c>
      <c r="K394" s="42" t="n">
        <v>0</v>
      </c>
      <c r="L394" s="42" t="n">
        <v>0</v>
      </c>
      <c r="M394" s="42" t="s">
        <v>3741</v>
      </c>
      <c r="N394" s="42"/>
      <c r="O394" s="41"/>
      <c r="P394" s="41"/>
      <c r="Q394" s="41"/>
    </row>
    <row r="395" customFormat="false" ht="39" hidden="false" customHeight="true" outlineLevel="0" collapsed="false">
      <c r="A395" s="42" t="n">
        <v>391</v>
      </c>
      <c r="B395" s="42" t="s">
        <v>3796</v>
      </c>
      <c r="C395" s="42" t="s">
        <v>4135</v>
      </c>
      <c r="D395" s="42" t="s">
        <v>947</v>
      </c>
      <c r="E395" s="42" t="s">
        <v>948</v>
      </c>
      <c r="F395" s="42" t="n">
        <v>2024</v>
      </c>
      <c r="G395" s="42" t="s">
        <v>123</v>
      </c>
      <c r="H395" s="42" t="s">
        <v>949</v>
      </c>
      <c r="I395" s="42" t="s">
        <v>409</v>
      </c>
      <c r="J395" s="42" t="s">
        <v>25</v>
      </c>
      <c r="K395" s="42" t="n">
        <v>0</v>
      </c>
      <c r="L395" s="42" t="n">
        <v>0</v>
      </c>
      <c r="M395" s="42" t="s">
        <v>3741</v>
      </c>
      <c r="N395" s="42"/>
      <c r="O395" s="41"/>
      <c r="P395" s="41"/>
      <c r="Q395" s="41"/>
    </row>
    <row r="396" customFormat="false" ht="39" hidden="false" customHeight="true" outlineLevel="0" collapsed="false">
      <c r="A396" s="42" t="n">
        <v>392</v>
      </c>
      <c r="B396" s="42" t="s">
        <v>3796</v>
      </c>
      <c r="C396" s="42" t="s">
        <v>4136</v>
      </c>
      <c r="D396" s="42" t="s">
        <v>967</v>
      </c>
      <c r="E396" s="42" t="s">
        <v>968</v>
      </c>
      <c r="F396" s="42" t="n">
        <v>2024</v>
      </c>
      <c r="G396" s="42" t="s">
        <v>969</v>
      </c>
      <c r="H396" s="42"/>
      <c r="I396" s="42" t="s">
        <v>409</v>
      </c>
      <c r="J396" s="42" t="s">
        <v>25</v>
      </c>
      <c r="K396" s="42" t="n">
        <v>0</v>
      </c>
      <c r="L396" s="42" t="n">
        <v>0</v>
      </c>
      <c r="M396" s="42" t="s">
        <v>3741</v>
      </c>
      <c r="N396" s="42"/>
      <c r="O396" s="41"/>
      <c r="P396" s="41"/>
      <c r="Q396" s="41"/>
    </row>
    <row r="397" customFormat="false" ht="51.75" hidden="false" customHeight="true" outlineLevel="0" collapsed="false">
      <c r="A397" s="42" t="n">
        <v>393</v>
      </c>
      <c r="B397" s="42" t="s">
        <v>3796</v>
      </c>
      <c r="C397" s="42" t="s">
        <v>4137</v>
      </c>
      <c r="D397" s="42" t="s">
        <v>972</v>
      </c>
      <c r="E397" s="42" t="s">
        <v>973</v>
      </c>
      <c r="F397" s="42" t="n">
        <v>2024</v>
      </c>
      <c r="G397" s="42" t="s">
        <v>974</v>
      </c>
      <c r="H397" s="42" t="s">
        <v>975</v>
      </c>
      <c r="I397" s="42" t="s">
        <v>409</v>
      </c>
      <c r="J397" s="42" t="s">
        <v>25</v>
      </c>
      <c r="K397" s="42" t="n">
        <v>0</v>
      </c>
      <c r="L397" s="42" t="n">
        <v>0</v>
      </c>
      <c r="M397" s="42" t="s">
        <v>3741</v>
      </c>
      <c r="N397" s="42"/>
      <c r="O397" s="41"/>
      <c r="P397" s="41"/>
      <c r="Q397" s="41"/>
    </row>
    <row r="398" customFormat="false" ht="39" hidden="false" customHeight="true" outlineLevel="0" collapsed="false">
      <c r="A398" s="42" t="n">
        <v>394</v>
      </c>
      <c r="B398" s="42" t="s">
        <v>3796</v>
      </c>
      <c r="C398" s="42" t="s">
        <v>4138</v>
      </c>
      <c r="D398" s="42" t="s">
        <v>1032</v>
      </c>
      <c r="E398" s="42" t="s">
        <v>1033</v>
      </c>
      <c r="F398" s="42" t="n">
        <v>2024</v>
      </c>
      <c r="G398" s="42" t="s">
        <v>239</v>
      </c>
      <c r="H398" s="42" t="s">
        <v>1034</v>
      </c>
      <c r="I398" s="42" t="s">
        <v>409</v>
      </c>
      <c r="J398" s="42" t="s">
        <v>25</v>
      </c>
      <c r="K398" s="42" t="n">
        <v>0</v>
      </c>
      <c r="L398" s="42" t="n">
        <v>0</v>
      </c>
      <c r="M398" s="42" t="s">
        <v>3741</v>
      </c>
      <c r="N398" s="42"/>
      <c r="O398" s="41"/>
      <c r="P398" s="41"/>
      <c r="Q398" s="41"/>
    </row>
    <row r="399" customFormat="false" ht="51.75" hidden="false" customHeight="true" outlineLevel="0" collapsed="false">
      <c r="A399" s="42" t="n">
        <v>395</v>
      </c>
      <c r="B399" s="42" t="s">
        <v>3796</v>
      </c>
      <c r="C399" s="42" t="s">
        <v>4139</v>
      </c>
      <c r="D399" s="42" t="s">
        <v>1090</v>
      </c>
      <c r="E399" s="42" t="s">
        <v>1091</v>
      </c>
      <c r="F399" s="42" t="n">
        <v>2024</v>
      </c>
      <c r="G399" s="42" t="s">
        <v>123</v>
      </c>
      <c r="H399" s="42" t="s">
        <v>1092</v>
      </c>
      <c r="I399" s="42" t="s">
        <v>409</v>
      </c>
      <c r="J399" s="42" t="s">
        <v>25</v>
      </c>
      <c r="K399" s="42" t="n">
        <v>0</v>
      </c>
      <c r="L399" s="42" t="n">
        <v>0</v>
      </c>
      <c r="M399" s="42" t="s">
        <v>3741</v>
      </c>
      <c r="N399" s="42"/>
      <c r="O399" s="41"/>
      <c r="P399" s="41"/>
      <c r="Q399" s="41"/>
    </row>
    <row r="400" customFormat="false" ht="51.75" hidden="false" customHeight="true" outlineLevel="0" collapsed="false">
      <c r="A400" s="42" t="n">
        <v>396</v>
      </c>
      <c r="B400" s="42" t="s">
        <v>3796</v>
      </c>
      <c r="C400" s="42" t="s">
        <v>4140</v>
      </c>
      <c r="D400" s="42" t="s">
        <v>1111</v>
      </c>
      <c r="E400" s="42" t="s">
        <v>1112</v>
      </c>
      <c r="F400" s="42" t="n">
        <v>2024</v>
      </c>
      <c r="G400" s="42" t="s">
        <v>1113</v>
      </c>
      <c r="H400" s="42" t="s">
        <v>1114</v>
      </c>
      <c r="I400" s="42" t="s">
        <v>409</v>
      </c>
      <c r="J400" s="42" t="s">
        <v>25</v>
      </c>
      <c r="K400" s="42" t="n">
        <v>0</v>
      </c>
      <c r="L400" s="42" t="n">
        <v>0</v>
      </c>
      <c r="M400" s="42" t="s">
        <v>3741</v>
      </c>
      <c r="N400" s="42"/>
      <c r="O400" s="41"/>
      <c r="P400" s="41"/>
      <c r="Q400" s="41"/>
    </row>
    <row r="401" customFormat="false" ht="39" hidden="false" customHeight="true" outlineLevel="0" collapsed="false">
      <c r="A401" s="42" t="n">
        <v>397</v>
      </c>
      <c r="B401" s="42" t="s">
        <v>3796</v>
      </c>
      <c r="C401" s="42" t="s">
        <v>4141</v>
      </c>
      <c r="D401" s="42" t="s">
        <v>1117</v>
      </c>
      <c r="E401" s="42" t="s">
        <v>1118</v>
      </c>
      <c r="F401" s="42" t="n">
        <v>2024</v>
      </c>
      <c r="G401" s="42" t="s">
        <v>1119</v>
      </c>
      <c r="H401" s="42" t="s">
        <v>1120</v>
      </c>
      <c r="I401" s="42" t="s">
        <v>409</v>
      </c>
      <c r="J401" s="42" t="s">
        <v>25</v>
      </c>
      <c r="K401" s="42" t="n">
        <v>0</v>
      </c>
      <c r="L401" s="42" t="n">
        <v>0</v>
      </c>
      <c r="M401" s="42" t="s">
        <v>3741</v>
      </c>
      <c r="N401" s="42"/>
      <c r="O401" s="41"/>
      <c r="P401" s="41"/>
      <c r="Q401" s="41"/>
    </row>
    <row r="402" customFormat="false" ht="64.5" hidden="false" customHeight="true" outlineLevel="0" collapsed="false">
      <c r="A402" s="42" t="n">
        <v>398</v>
      </c>
      <c r="B402" s="42" t="s">
        <v>3796</v>
      </c>
      <c r="C402" s="42" t="s">
        <v>4142</v>
      </c>
      <c r="D402" s="42" t="s">
        <v>1156</v>
      </c>
      <c r="E402" s="42" t="s">
        <v>1157</v>
      </c>
      <c r="F402" s="42" t="n">
        <v>2024</v>
      </c>
      <c r="G402" s="42" t="s">
        <v>123</v>
      </c>
      <c r="H402" s="42" t="s">
        <v>1158</v>
      </c>
      <c r="I402" s="42" t="s">
        <v>409</v>
      </c>
      <c r="J402" s="42" t="s">
        <v>25</v>
      </c>
      <c r="K402" s="42" t="n">
        <v>0</v>
      </c>
      <c r="L402" s="42" t="n">
        <v>0</v>
      </c>
      <c r="M402" s="42" t="s">
        <v>3741</v>
      </c>
      <c r="N402" s="42"/>
      <c r="O402" s="41"/>
      <c r="P402" s="41"/>
      <c r="Q402" s="41"/>
    </row>
    <row r="403" customFormat="false" ht="51.75" hidden="false" customHeight="true" outlineLevel="0" collapsed="false">
      <c r="A403" s="42" t="n">
        <v>399</v>
      </c>
      <c r="B403" s="42" t="s">
        <v>3796</v>
      </c>
      <c r="C403" s="42" t="s">
        <v>4143</v>
      </c>
      <c r="D403" s="42" t="s">
        <v>1163</v>
      </c>
      <c r="E403" s="42" t="s">
        <v>1164</v>
      </c>
      <c r="F403" s="42" t="n">
        <v>2024</v>
      </c>
      <c r="G403" s="42" t="s">
        <v>963</v>
      </c>
      <c r="H403" s="42" t="s">
        <v>1165</v>
      </c>
      <c r="I403" s="42" t="s">
        <v>409</v>
      </c>
      <c r="J403" s="42" t="s">
        <v>25</v>
      </c>
      <c r="K403" s="42" t="n">
        <v>0</v>
      </c>
      <c r="L403" s="42" t="n">
        <v>0</v>
      </c>
      <c r="M403" s="42" t="s">
        <v>3741</v>
      </c>
      <c r="N403" s="42"/>
      <c r="O403" s="41"/>
      <c r="P403" s="41"/>
      <c r="Q403" s="41"/>
    </row>
    <row r="404" customFormat="false" ht="51.75" hidden="false" customHeight="true" outlineLevel="0" collapsed="false">
      <c r="A404" s="42" t="n">
        <v>400</v>
      </c>
      <c r="B404" s="42" t="s">
        <v>3796</v>
      </c>
      <c r="C404" s="42" t="s">
        <v>4144</v>
      </c>
      <c r="D404" s="42" t="s">
        <v>1192</v>
      </c>
      <c r="E404" s="42" t="s">
        <v>1193</v>
      </c>
      <c r="F404" s="42" t="n">
        <v>2024</v>
      </c>
      <c r="G404" s="42" t="s">
        <v>963</v>
      </c>
      <c r="H404" s="42" t="s">
        <v>1194</v>
      </c>
      <c r="I404" s="42" t="s">
        <v>409</v>
      </c>
      <c r="J404" s="42" t="s">
        <v>25</v>
      </c>
      <c r="K404" s="42" t="n">
        <v>0</v>
      </c>
      <c r="L404" s="42" t="n">
        <v>0</v>
      </c>
      <c r="M404" s="42" t="s">
        <v>3741</v>
      </c>
      <c r="N404" s="42"/>
      <c r="O404" s="41"/>
      <c r="P404" s="41"/>
      <c r="Q404" s="41"/>
    </row>
    <row r="405" customFormat="false" ht="51.75" hidden="false" customHeight="true" outlineLevel="0" collapsed="false">
      <c r="A405" s="42" t="n">
        <v>401</v>
      </c>
      <c r="B405" s="42" t="s">
        <v>3796</v>
      </c>
      <c r="C405" s="42" t="s">
        <v>4145</v>
      </c>
      <c r="D405" s="42" t="s">
        <v>1243</v>
      </c>
      <c r="E405" s="42" t="s">
        <v>1244</v>
      </c>
      <c r="F405" s="42" t="n">
        <v>2023</v>
      </c>
      <c r="G405" s="42" t="s">
        <v>376</v>
      </c>
      <c r="H405" s="42" t="s">
        <v>1245</v>
      </c>
      <c r="I405" s="42" t="s">
        <v>409</v>
      </c>
      <c r="J405" s="42" t="s">
        <v>25</v>
      </c>
      <c r="K405" s="42" t="n">
        <v>0</v>
      </c>
      <c r="L405" s="42" t="n">
        <v>0</v>
      </c>
      <c r="M405" s="42" t="s">
        <v>3741</v>
      </c>
      <c r="N405" s="42"/>
      <c r="O405" s="41"/>
      <c r="P405" s="41"/>
      <c r="Q405" s="41"/>
    </row>
    <row r="406" customFormat="false" ht="39" hidden="false" customHeight="true" outlineLevel="0" collapsed="false">
      <c r="A406" s="42" t="n">
        <v>402</v>
      </c>
      <c r="B406" s="42" t="s">
        <v>3796</v>
      </c>
      <c r="C406" s="42" t="s">
        <v>4146</v>
      </c>
      <c r="D406" s="42" t="s">
        <v>1276</v>
      </c>
      <c r="E406" s="42" t="s">
        <v>1277</v>
      </c>
      <c r="F406" s="42" t="n">
        <v>2023</v>
      </c>
      <c r="G406" s="42" t="s">
        <v>107</v>
      </c>
      <c r="H406" s="42" t="s">
        <v>1278</v>
      </c>
      <c r="I406" s="42" t="s">
        <v>409</v>
      </c>
      <c r="J406" s="42" t="s">
        <v>25</v>
      </c>
      <c r="K406" s="42" t="n">
        <v>0</v>
      </c>
      <c r="L406" s="42" t="n">
        <v>0</v>
      </c>
      <c r="M406" s="42" t="s">
        <v>3741</v>
      </c>
      <c r="N406" s="42"/>
      <c r="O406" s="41"/>
      <c r="P406" s="41"/>
      <c r="Q406" s="41"/>
    </row>
    <row r="407" customFormat="false" ht="64.5" hidden="false" customHeight="true" outlineLevel="0" collapsed="false">
      <c r="A407" s="42" t="n">
        <v>403</v>
      </c>
      <c r="B407" s="42" t="s">
        <v>3796</v>
      </c>
      <c r="C407" s="42" t="s">
        <v>4147</v>
      </c>
      <c r="D407" s="42" t="s">
        <v>1319</v>
      </c>
      <c r="E407" s="42" t="s">
        <v>1320</v>
      </c>
      <c r="F407" s="42" t="n">
        <v>2023</v>
      </c>
      <c r="G407" s="42" t="s">
        <v>1228</v>
      </c>
      <c r="H407" s="42" t="s">
        <v>1321</v>
      </c>
      <c r="I407" s="42" t="s">
        <v>409</v>
      </c>
      <c r="J407" s="42" t="s">
        <v>25</v>
      </c>
      <c r="K407" s="42" t="n">
        <v>0</v>
      </c>
      <c r="L407" s="42" t="n">
        <v>0</v>
      </c>
      <c r="M407" s="42" t="s">
        <v>3741</v>
      </c>
      <c r="N407" s="42"/>
      <c r="O407" s="41"/>
      <c r="P407" s="41"/>
      <c r="Q407" s="41"/>
    </row>
    <row r="408" customFormat="false" ht="51.75" hidden="false" customHeight="true" outlineLevel="0" collapsed="false">
      <c r="A408" s="42" t="n">
        <v>404</v>
      </c>
      <c r="B408" s="42" t="s">
        <v>3796</v>
      </c>
      <c r="C408" s="42" t="s">
        <v>4148</v>
      </c>
      <c r="D408" s="42" t="s">
        <v>302</v>
      </c>
      <c r="E408" s="42" t="s">
        <v>301</v>
      </c>
      <c r="F408" s="42" t="n">
        <v>2023</v>
      </c>
      <c r="G408" s="42" t="s">
        <v>155</v>
      </c>
      <c r="H408" s="42" t="s">
        <v>303</v>
      </c>
      <c r="I408" s="42" t="s">
        <v>409</v>
      </c>
      <c r="J408" s="42" t="s">
        <v>25</v>
      </c>
      <c r="K408" s="42" t="n">
        <v>0</v>
      </c>
      <c r="L408" s="42" t="n">
        <v>0</v>
      </c>
      <c r="M408" s="42" t="s">
        <v>3741</v>
      </c>
      <c r="N408" s="42"/>
      <c r="O408" s="41"/>
      <c r="P408" s="41"/>
      <c r="Q408" s="41"/>
    </row>
    <row r="409" customFormat="false" ht="39" hidden="false" customHeight="true" outlineLevel="0" collapsed="false">
      <c r="A409" s="42" t="n">
        <v>405</v>
      </c>
      <c r="B409" s="42" t="s">
        <v>3796</v>
      </c>
      <c r="C409" s="42" t="s">
        <v>4149</v>
      </c>
      <c r="D409" s="42" t="s">
        <v>1456</v>
      </c>
      <c r="E409" s="42" t="s">
        <v>1457</v>
      </c>
      <c r="F409" s="42" t="n">
        <v>2022</v>
      </c>
      <c r="G409" s="42" t="s">
        <v>958</v>
      </c>
      <c r="H409" s="42" t="s">
        <v>1458</v>
      </c>
      <c r="I409" s="42" t="s">
        <v>409</v>
      </c>
      <c r="J409" s="42" t="s">
        <v>25</v>
      </c>
      <c r="K409" s="42" t="n">
        <v>0</v>
      </c>
      <c r="L409" s="42" t="n">
        <v>0</v>
      </c>
      <c r="M409" s="42" t="s">
        <v>3741</v>
      </c>
      <c r="N409" s="42"/>
      <c r="O409" s="41"/>
      <c r="P409" s="41"/>
      <c r="Q409" s="41"/>
    </row>
    <row r="410" customFormat="false" ht="39" hidden="false" customHeight="true" outlineLevel="0" collapsed="false">
      <c r="A410" s="42" t="n">
        <v>406</v>
      </c>
      <c r="B410" s="42" t="s">
        <v>3796</v>
      </c>
      <c r="C410" s="42" t="s">
        <v>4150</v>
      </c>
      <c r="D410" s="42" t="s">
        <v>1496</v>
      </c>
      <c r="E410" s="42" t="s">
        <v>1497</v>
      </c>
      <c r="F410" s="42" t="n">
        <v>2022</v>
      </c>
      <c r="G410" s="42" t="s">
        <v>1422</v>
      </c>
      <c r="H410" s="42" t="s">
        <v>1498</v>
      </c>
      <c r="I410" s="42" t="s">
        <v>409</v>
      </c>
      <c r="J410" s="42" t="s">
        <v>25</v>
      </c>
      <c r="K410" s="42" t="n">
        <v>0</v>
      </c>
      <c r="L410" s="42" t="n">
        <v>0</v>
      </c>
      <c r="M410" s="42" t="s">
        <v>3741</v>
      </c>
      <c r="N410" s="42"/>
      <c r="O410" s="41"/>
      <c r="P410" s="41"/>
      <c r="Q410" s="41"/>
    </row>
    <row r="411" customFormat="false" ht="64.5" hidden="false" customHeight="true" outlineLevel="0" collapsed="false">
      <c r="A411" s="42" t="n">
        <v>407</v>
      </c>
      <c r="B411" s="42" t="s">
        <v>3796</v>
      </c>
      <c r="C411" s="42" t="s">
        <v>4151</v>
      </c>
      <c r="D411" s="42" t="s">
        <v>1522</v>
      </c>
      <c r="E411" s="42" t="s">
        <v>1523</v>
      </c>
      <c r="F411" s="42" t="n">
        <v>2022</v>
      </c>
      <c r="G411" s="42" t="s">
        <v>1524</v>
      </c>
      <c r="H411" s="42"/>
      <c r="I411" s="42" t="s">
        <v>409</v>
      </c>
      <c r="J411" s="42" t="s">
        <v>25</v>
      </c>
      <c r="K411" s="42" t="n">
        <v>0</v>
      </c>
      <c r="L411" s="42" t="n">
        <v>0</v>
      </c>
      <c r="M411" s="42" t="s">
        <v>3741</v>
      </c>
      <c r="N411" s="42"/>
      <c r="O411" s="41"/>
      <c r="P411" s="41"/>
      <c r="Q411" s="41"/>
    </row>
    <row r="412" customFormat="false" ht="39" hidden="false" customHeight="true" outlineLevel="0" collapsed="false">
      <c r="A412" s="42" t="n">
        <v>408</v>
      </c>
      <c r="B412" s="42" t="s">
        <v>3796</v>
      </c>
      <c r="C412" s="42" t="s">
        <v>4152</v>
      </c>
      <c r="D412" s="42" t="s">
        <v>1557</v>
      </c>
      <c r="E412" s="42" t="s">
        <v>1558</v>
      </c>
      <c r="F412" s="42" t="n">
        <v>2022</v>
      </c>
      <c r="G412" s="42" t="s">
        <v>1422</v>
      </c>
      <c r="H412" s="42" t="s">
        <v>1559</v>
      </c>
      <c r="I412" s="42" t="s">
        <v>409</v>
      </c>
      <c r="J412" s="42" t="s">
        <v>25</v>
      </c>
      <c r="K412" s="42" t="n">
        <v>0</v>
      </c>
      <c r="L412" s="42" t="n">
        <v>0</v>
      </c>
      <c r="M412" s="42" t="s">
        <v>3741</v>
      </c>
      <c r="N412" s="42"/>
      <c r="O412" s="41"/>
      <c r="P412" s="41"/>
      <c r="Q412" s="41"/>
    </row>
    <row r="413" customFormat="false" ht="39" hidden="false" customHeight="true" outlineLevel="0" collapsed="false">
      <c r="A413" s="42" t="n">
        <v>409</v>
      </c>
      <c r="B413" s="42" t="s">
        <v>3796</v>
      </c>
      <c r="C413" s="42" t="s">
        <v>4153</v>
      </c>
      <c r="D413" s="42" t="s">
        <v>2768</v>
      </c>
      <c r="E413" s="42" t="s">
        <v>2769</v>
      </c>
      <c r="F413" s="42" t="n">
        <v>2021</v>
      </c>
      <c r="G413" s="42" t="s">
        <v>2770</v>
      </c>
      <c r="H413" s="42" t="s">
        <v>2771</v>
      </c>
      <c r="I413" s="42" t="s">
        <v>3767</v>
      </c>
      <c r="J413" s="42" t="s">
        <v>25</v>
      </c>
      <c r="K413" s="42" t="n">
        <v>0</v>
      </c>
      <c r="L413" s="42" t="n">
        <v>0</v>
      </c>
      <c r="M413" s="42" t="s">
        <v>3741</v>
      </c>
      <c r="N413" s="42"/>
      <c r="O413" s="41"/>
      <c r="P413" s="41"/>
      <c r="Q413" s="41"/>
    </row>
    <row r="414" customFormat="false" ht="39" hidden="false" customHeight="true" outlineLevel="0" collapsed="false">
      <c r="A414" s="42" t="n">
        <v>410</v>
      </c>
      <c r="B414" s="42" t="s">
        <v>3796</v>
      </c>
      <c r="C414" s="42" t="s">
        <v>4154</v>
      </c>
      <c r="D414" s="42" t="s">
        <v>1744</v>
      </c>
      <c r="E414" s="42" t="s">
        <v>1745</v>
      </c>
      <c r="F414" s="42" t="n">
        <v>2021</v>
      </c>
      <c r="G414" s="42" t="s">
        <v>1746</v>
      </c>
      <c r="H414" s="42" t="s">
        <v>1747</v>
      </c>
      <c r="I414" s="42" t="s">
        <v>409</v>
      </c>
      <c r="J414" s="42" t="s">
        <v>25</v>
      </c>
      <c r="K414" s="42" t="n">
        <v>0</v>
      </c>
      <c r="L414" s="42" t="n">
        <v>0</v>
      </c>
      <c r="M414" s="42" t="s">
        <v>3741</v>
      </c>
      <c r="N414" s="42"/>
      <c r="O414" s="41"/>
      <c r="P414" s="41"/>
      <c r="Q414" s="41"/>
    </row>
    <row r="415" customFormat="false" ht="39" hidden="false" customHeight="true" outlineLevel="0" collapsed="false">
      <c r="A415" s="42" t="n">
        <v>411</v>
      </c>
      <c r="B415" s="42" t="s">
        <v>3796</v>
      </c>
      <c r="C415" s="42" t="s">
        <v>4155</v>
      </c>
      <c r="D415" s="42" t="s">
        <v>2780</v>
      </c>
      <c r="E415" s="42" t="s">
        <v>2781</v>
      </c>
      <c r="F415" s="42" t="n">
        <v>2021</v>
      </c>
      <c r="G415" s="42" t="s">
        <v>2770</v>
      </c>
      <c r="H415" s="42" t="s">
        <v>2782</v>
      </c>
      <c r="I415" s="42" t="s">
        <v>3767</v>
      </c>
      <c r="J415" s="42" t="s">
        <v>25</v>
      </c>
      <c r="K415" s="42" t="n">
        <v>0</v>
      </c>
      <c r="L415" s="42" t="n">
        <v>0</v>
      </c>
      <c r="M415" s="42" t="s">
        <v>3741</v>
      </c>
      <c r="N415" s="42"/>
      <c r="O415" s="41"/>
      <c r="P415" s="41"/>
      <c r="Q415" s="41"/>
    </row>
    <row r="416" customFormat="false" ht="39" hidden="false" customHeight="true" outlineLevel="0" collapsed="false">
      <c r="A416" s="42" t="n">
        <v>412</v>
      </c>
      <c r="B416" s="42" t="s">
        <v>3796</v>
      </c>
      <c r="C416" s="42" t="s">
        <v>4156</v>
      </c>
      <c r="D416" s="42" t="s">
        <v>1857</v>
      </c>
      <c r="E416" s="42" t="s">
        <v>1858</v>
      </c>
      <c r="F416" s="42" t="n">
        <v>2020</v>
      </c>
      <c r="G416" s="42" t="s">
        <v>1859</v>
      </c>
      <c r="H416" s="42"/>
      <c r="I416" s="42" t="s">
        <v>409</v>
      </c>
      <c r="J416" s="42" t="s">
        <v>25</v>
      </c>
      <c r="K416" s="42" t="n">
        <v>0</v>
      </c>
      <c r="L416" s="42" t="n">
        <v>0</v>
      </c>
      <c r="M416" s="42" t="s">
        <v>3741</v>
      </c>
      <c r="N416" s="42"/>
      <c r="O416" s="41"/>
      <c r="P416" s="41"/>
      <c r="Q416" s="41"/>
    </row>
    <row r="417" customFormat="false" ht="51.75" hidden="false" customHeight="true" outlineLevel="0" collapsed="false">
      <c r="A417" s="42" t="n">
        <v>413</v>
      </c>
      <c r="B417" s="42" t="s">
        <v>3796</v>
      </c>
      <c r="C417" s="42" t="s">
        <v>4157</v>
      </c>
      <c r="D417" s="42" t="s">
        <v>1925</v>
      </c>
      <c r="E417" s="42" t="s">
        <v>1926</v>
      </c>
      <c r="F417" s="42" t="n">
        <v>2020</v>
      </c>
      <c r="G417" s="42" t="s">
        <v>1859</v>
      </c>
      <c r="H417" s="42"/>
      <c r="I417" s="42" t="s">
        <v>409</v>
      </c>
      <c r="J417" s="42" t="s">
        <v>25</v>
      </c>
      <c r="K417" s="42" t="n">
        <v>0</v>
      </c>
      <c r="L417" s="42" t="n">
        <v>0</v>
      </c>
      <c r="M417" s="42" t="s">
        <v>3741</v>
      </c>
      <c r="N417" s="42"/>
      <c r="O417" s="41"/>
      <c r="P417" s="41"/>
      <c r="Q417" s="41"/>
    </row>
    <row r="418" customFormat="false" ht="39" hidden="false" customHeight="true" outlineLevel="0" collapsed="false">
      <c r="A418" s="42" t="n">
        <v>414</v>
      </c>
      <c r="B418" s="42" t="s">
        <v>3796</v>
      </c>
      <c r="C418" s="42" t="s">
        <v>4158</v>
      </c>
      <c r="D418" s="42" t="s">
        <v>1949</v>
      </c>
      <c r="E418" s="42" t="s">
        <v>1950</v>
      </c>
      <c r="F418" s="42" t="n">
        <v>2020</v>
      </c>
      <c r="G418" s="42" t="s">
        <v>1859</v>
      </c>
      <c r="H418" s="42"/>
      <c r="I418" s="42" t="s">
        <v>409</v>
      </c>
      <c r="J418" s="42" t="s">
        <v>25</v>
      </c>
      <c r="K418" s="42" t="n">
        <v>0</v>
      </c>
      <c r="L418" s="42" t="n">
        <v>0</v>
      </c>
      <c r="M418" s="42" t="s">
        <v>3741</v>
      </c>
      <c r="N418" s="42"/>
      <c r="O418" s="41"/>
      <c r="P418" s="41"/>
      <c r="Q418" s="41"/>
    </row>
    <row r="419" customFormat="false" ht="25.5" hidden="false" customHeight="true" outlineLevel="0" collapsed="false">
      <c r="A419" s="42" t="n">
        <v>415</v>
      </c>
      <c r="B419" s="42" t="s">
        <v>3796</v>
      </c>
      <c r="C419" s="42" t="s">
        <v>4159</v>
      </c>
      <c r="D419" s="42" t="s">
        <v>2028</v>
      </c>
      <c r="E419" s="42" t="s">
        <v>2029</v>
      </c>
      <c r="F419" s="42" t="n">
        <v>2020</v>
      </c>
      <c r="G419" s="42" t="s">
        <v>2030</v>
      </c>
      <c r="H419" s="42"/>
      <c r="I419" s="42" t="s">
        <v>409</v>
      </c>
      <c r="J419" s="42" t="s">
        <v>25</v>
      </c>
      <c r="K419" s="42" t="n">
        <v>0</v>
      </c>
      <c r="L419" s="42" t="n">
        <v>0</v>
      </c>
      <c r="M419" s="42" t="s">
        <v>3741</v>
      </c>
      <c r="N419" s="42"/>
      <c r="O419" s="41"/>
      <c r="P419" s="41"/>
      <c r="Q419" s="41"/>
    </row>
    <row r="420" customFormat="false" ht="25.5" hidden="false" customHeight="true" outlineLevel="0" collapsed="false">
      <c r="A420" s="42" t="n">
        <v>416</v>
      </c>
      <c r="B420" s="42" t="s">
        <v>3796</v>
      </c>
      <c r="C420" s="42" t="s">
        <v>4160</v>
      </c>
      <c r="D420" s="42" t="s">
        <v>2158</v>
      </c>
      <c r="E420" s="42" t="s">
        <v>2159</v>
      </c>
      <c r="F420" s="42" t="n">
        <v>2019</v>
      </c>
      <c r="G420" s="42" t="s">
        <v>2160</v>
      </c>
      <c r="H420" s="42"/>
      <c r="I420" s="42" t="s">
        <v>409</v>
      </c>
      <c r="J420" s="42" t="s">
        <v>25</v>
      </c>
      <c r="K420" s="42" t="n">
        <v>0</v>
      </c>
      <c r="L420" s="42" t="n">
        <v>0</v>
      </c>
      <c r="M420" s="42" t="s">
        <v>3741</v>
      </c>
      <c r="N420" s="42"/>
      <c r="O420" s="41"/>
      <c r="P420" s="41"/>
      <c r="Q420" s="41"/>
    </row>
    <row r="421" customFormat="false" ht="51.75" hidden="false" customHeight="true" outlineLevel="0" collapsed="false">
      <c r="A421" s="42" t="n">
        <v>417</v>
      </c>
      <c r="B421" s="42" t="s">
        <v>3796</v>
      </c>
      <c r="C421" s="42" t="s">
        <v>4161</v>
      </c>
      <c r="D421" s="42" t="s">
        <v>2800</v>
      </c>
      <c r="E421" s="42" t="s">
        <v>2801</v>
      </c>
      <c r="F421" s="42" t="n">
        <v>2019</v>
      </c>
      <c r="G421" s="42" t="s">
        <v>2796</v>
      </c>
      <c r="H421" s="42" t="s">
        <v>2802</v>
      </c>
      <c r="I421" s="42" t="s">
        <v>3767</v>
      </c>
      <c r="J421" s="42" t="s">
        <v>25</v>
      </c>
      <c r="K421" s="42" t="n">
        <v>0</v>
      </c>
      <c r="L421" s="42" t="n">
        <v>0</v>
      </c>
      <c r="M421" s="42" t="s">
        <v>3741</v>
      </c>
      <c r="N421" s="42"/>
      <c r="O421" s="41"/>
      <c r="P421" s="41"/>
      <c r="Q421" s="41"/>
    </row>
    <row r="422" customFormat="false" ht="51.75" hidden="false" customHeight="true" outlineLevel="0" collapsed="false">
      <c r="A422" s="42" t="n">
        <v>418</v>
      </c>
      <c r="B422" s="42" t="s">
        <v>3796</v>
      </c>
      <c r="C422" s="42" t="s">
        <v>4162</v>
      </c>
      <c r="D422" s="42" t="s">
        <v>2224</v>
      </c>
      <c r="E422" s="42" t="s">
        <v>2225</v>
      </c>
      <c r="F422" s="42" t="n">
        <v>2018</v>
      </c>
      <c r="G422" s="42" t="s">
        <v>2226</v>
      </c>
      <c r="H422" s="42" t="s">
        <v>2227</v>
      </c>
      <c r="I422" s="42" t="s">
        <v>409</v>
      </c>
      <c r="J422" s="42" t="s">
        <v>25</v>
      </c>
      <c r="K422" s="42" t="n">
        <v>0</v>
      </c>
      <c r="L422" s="42" t="n">
        <v>0</v>
      </c>
      <c r="M422" s="42" t="s">
        <v>3741</v>
      </c>
      <c r="N422" s="42"/>
      <c r="O422" s="41"/>
      <c r="P422" s="41"/>
      <c r="Q422" s="41"/>
    </row>
    <row r="423" customFormat="false" ht="25.5" hidden="false" customHeight="true" outlineLevel="0" collapsed="false">
      <c r="A423" s="42" t="n">
        <v>419</v>
      </c>
      <c r="B423" s="42" t="s">
        <v>3796</v>
      </c>
      <c r="C423" s="42" t="s">
        <v>4163</v>
      </c>
      <c r="D423" s="42" t="s">
        <v>3456</v>
      </c>
      <c r="E423" s="42" t="s">
        <v>3457</v>
      </c>
      <c r="F423" s="42" t="n">
        <v>2018</v>
      </c>
      <c r="G423" s="42" t="s">
        <v>32</v>
      </c>
      <c r="H423" s="42" t="s">
        <v>3458</v>
      </c>
      <c r="I423" s="42" t="s">
        <v>484</v>
      </c>
      <c r="J423" s="42" t="s">
        <v>25</v>
      </c>
      <c r="K423" s="42" t="n">
        <v>0</v>
      </c>
      <c r="L423" s="42" t="n">
        <v>0</v>
      </c>
      <c r="M423" s="42" t="s">
        <v>3741</v>
      </c>
      <c r="N423" s="42"/>
      <c r="O423" s="41"/>
      <c r="P423" s="41"/>
      <c r="Q423" s="41"/>
    </row>
    <row r="424" customFormat="false" ht="39" hidden="false" customHeight="true" outlineLevel="0" collapsed="false">
      <c r="A424" s="42" t="n">
        <v>420</v>
      </c>
      <c r="B424" s="42" t="s">
        <v>3796</v>
      </c>
      <c r="C424" s="42" t="s">
        <v>4164</v>
      </c>
      <c r="D424" s="42" t="s">
        <v>2365</v>
      </c>
      <c r="E424" s="42" t="s">
        <v>2366</v>
      </c>
      <c r="F424" s="42" t="n">
        <v>2017</v>
      </c>
      <c r="G424" s="42" t="s">
        <v>2367</v>
      </c>
      <c r="H424" s="42" t="s">
        <v>2368</v>
      </c>
      <c r="I424" s="42" t="s">
        <v>409</v>
      </c>
      <c r="J424" s="42" t="s">
        <v>25</v>
      </c>
      <c r="K424" s="42" t="n">
        <v>0</v>
      </c>
      <c r="L424" s="42" t="n">
        <v>0</v>
      </c>
      <c r="M424" s="42" t="s">
        <v>3741</v>
      </c>
      <c r="N424" s="42"/>
      <c r="O424" s="41"/>
      <c r="P424" s="41"/>
      <c r="Q424" s="41"/>
    </row>
    <row r="425" customFormat="false" ht="51.75" hidden="false" customHeight="true" outlineLevel="0" collapsed="false">
      <c r="A425" s="42" t="n">
        <v>421</v>
      </c>
      <c r="B425" s="42" t="s">
        <v>3796</v>
      </c>
      <c r="C425" s="42" t="s">
        <v>4165</v>
      </c>
      <c r="D425" s="42" t="s">
        <v>2475</v>
      </c>
      <c r="E425" s="42" t="s">
        <v>2476</v>
      </c>
      <c r="F425" s="42" t="n">
        <v>2017</v>
      </c>
      <c r="G425" s="42" t="s">
        <v>107</v>
      </c>
      <c r="H425" s="42" t="s">
        <v>2477</v>
      </c>
      <c r="I425" s="42" t="s">
        <v>409</v>
      </c>
      <c r="J425" s="42" t="s">
        <v>25</v>
      </c>
      <c r="K425" s="42" t="n">
        <v>0</v>
      </c>
      <c r="L425" s="42" t="n">
        <v>0</v>
      </c>
      <c r="M425" s="42" t="s">
        <v>3741</v>
      </c>
      <c r="N425" s="42"/>
      <c r="O425" s="41"/>
      <c r="P425" s="41"/>
      <c r="Q425" s="41"/>
    </row>
    <row r="426" customFormat="false" ht="39" hidden="false" customHeight="true" outlineLevel="0" collapsed="false">
      <c r="A426" s="42" t="n">
        <v>422</v>
      </c>
      <c r="B426" s="42" t="s">
        <v>3796</v>
      </c>
      <c r="C426" s="42" t="s">
        <v>4166</v>
      </c>
      <c r="D426" s="42" t="s">
        <v>2480</v>
      </c>
      <c r="E426" s="42" t="s">
        <v>2481</v>
      </c>
      <c r="F426" s="42" t="n">
        <v>2017</v>
      </c>
      <c r="G426" s="42" t="s">
        <v>2482</v>
      </c>
      <c r="H426" s="42" t="s">
        <v>2483</v>
      </c>
      <c r="I426" s="42" t="s">
        <v>409</v>
      </c>
      <c r="J426" s="42" t="s">
        <v>25</v>
      </c>
      <c r="K426" s="42" t="n">
        <v>0</v>
      </c>
      <c r="L426" s="42" t="n">
        <v>0</v>
      </c>
      <c r="M426" s="42" t="s">
        <v>3741</v>
      </c>
      <c r="N426" s="42"/>
      <c r="O426" s="41"/>
      <c r="P426" s="41"/>
      <c r="Q426" s="41"/>
    </row>
    <row r="427" customFormat="false" ht="25.5" hidden="false" customHeight="true" outlineLevel="0" collapsed="false">
      <c r="A427" s="42" t="n">
        <v>423</v>
      </c>
      <c r="B427" s="42" t="s">
        <v>3796</v>
      </c>
      <c r="C427" s="42" t="s">
        <v>4167</v>
      </c>
      <c r="D427" s="42" t="s">
        <v>3397</v>
      </c>
      <c r="E427" s="42" t="s">
        <v>3398</v>
      </c>
      <c r="F427" s="42" t="n">
        <v>2017</v>
      </c>
      <c r="G427" s="42" t="s">
        <v>3399</v>
      </c>
      <c r="H427" s="42" t="s">
        <v>3400</v>
      </c>
      <c r="I427" s="42" t="s">
        <v>3740</v>
      </c>
      <c r="J427" s="42" t="s">
        <v>25</v>
      </c>
      <c r="K427" s="42" t="n">
        <v>0</v>
      </c>
      <c r="L427" s="42" t="n">
        <v>0</v>
      </c>
      <c r="M427" s="42" t="s">
        <v>3741</v>
      </c>
      <c r="N427" s="42"/>
      <c r="O427" s="41"/>
      <c r="P427" s="41"/>
      <c r="Q427" s="41"/>
    </row>
    <row r="428" customFormat="false" ht="39" hidden="false" customHeight="true" outlineLevel="0" collapsed="false">
      <c r="A428" s="42" t="n">
        <v>424</v>
      </c>
      <c r="B428" s="42" t="s">
        <v>3796</v>
      </c>
      <c r="C428" s="42" t="s">
        <v>4168</v>
      </c>
      <c r="D428" s="42" t="s">
        <v>2612</v>
      </c>
      <c r="E428" s="42" t="s">
        <v>2613</v>
      </c>
      <c r="F428" s="42" t="n">
        <v>2016</v>
      </c>
      <c r="G428" s="42" t="s">
        <v>300</v>
      </c>
      <c r="H428" s="42" t="s">
        <v>2618</v>
      </c>
      <c r="I428" s="42" t="s">
        <v>409</v>
      </c>
      <c r="J428" s="42" t="s">
        <v>25</v>
      </c>
      <c r="K428" s="42" t="n">
        <v>0</v>
      </c>
      <c r="L428" s="42" t="n">
        <v>0</v>
      </c>
      <c r="M428" s="42" t="s">
        <v>3741</v>
      </c>
      <c r="N428" s="42"/>
      <c r="O428" s="41"/>
      <c r="P428" s="41"/>
      <c r="Q428" s="41"/>
    </row>
    <row r="429" customFormat="false" ht="51.75" hidden="false" customHeight="true" outlineLevel="0" collapsed="false">
      <c r="A429" s="42" t="n">
        <v>425</v>
      </c>
      <c r="B429" s="42" t="s">
        <v>3796</v>
      </c>
      <c r="C429" s="42" t="s">
        <v>4169</v>
      </c>
      <c r="D429" s="42" t="s">
        <v>3517</v>
      </c>
      <c r="E429" s="42" t="s">
        <v>3518</v>
      </c>
      <c r="F429" s="42" t="n">
        <v>2026</v>
      </c>
      <c r="G429" s="42" t="s">
        <v>3519</v>
      </c>
      <c r="H429" s="42" t="s">
        <v>3520</v>
      </c>
      <c r="I429" s="42" t="s">
        <v>3795</v>
      </c>
      <c r="J429" s="42" t="s">
        <v>25</v>
      </c>
      <c r="K429" s="42" t="n">
        <v>0</v>
      </c>
      <c r="L429" s="42" t="n">
        <v>0</v>
      </c>
      <c r="M429" s="42" t="s">
        <v>3741</v>
      </c>
      <c r="N429" s="42"/>
      <c r="O429" s="41"/>
      <c r="P429" s="41"/>
      <c r="Q429" s="41"/>
    </row>
    <row r="430" customFormat="false" ht="39" hidden="false" customHeight="true" outlineLevel="0" collapsed="false">
      <c r="A430" s="42" t="n">
        <v>426</v>
      </c>
      <c r="B430" s="42" t="s">
        <v>3796</v>
      </c>
      <c r="C430" s="42" t="s">
        <v>4170</v>
      </c>
      <c r="D430" s="42" t="s">
        <v>3523</v>
      </c>
      <c r="E430" s="42" t="s">
        <v>3524</v>
      </c>
      <c r="F430" s="42" t="n">
        <v>2026</v>
      </c>
      <c r="G430" s="42" t="s">
        <v>3525</v>
      </c>
      <c r="H430" s="42" t="s">
        <v>3526</v>
      </c>
      <c r="I430" s="42" t="s">
        <v>3795</v>
      </c>
      <c r="J430" s="42" t="s">
        <v>25</v>
      </c>
      <c r="K430" s="42" t="n">
        <v>0</v>
      </c>
      <c r="L430" s="42" t="n">
        <v>0</v>
      </c>
      <c r="M430" s="42" t="s">
        <v>3741</v>
      </c>
      <c r="N430" s="42"/>
      <c r="O430" s="41"/>
      <c r="P430" s="41"/>
      <c r="Q430" s="41"/>
    </row>
    <row r="431" customFormat="false" ht="39" hidden="false" customHeight="true" outlineLevel="0" collapsed="false">
      <c r="A431" s="42" t="n">
        <v>427</v>
      </c>
      <c r="B431" s="42" t="s">
        <v>3796</v>
      </c>
      <c r="C431" s="42" t="s">
        <v>4171</v>
      </c>
      <c r="D431" s="42" t="s">
        <v>3533</v>
      </c>
      <c r="E431" s="42" t="s">
        <v>3534</v>
      </c>
      <c r="F431" s="42" t="n">
        <v>2025</v>
      </c>
      <c r="G431" s="42" t="s">
        <v>3519</v>
      </c>
      <c r="H431" s="42" t="s">
        <v>3535</v>
      </c>
      <c r="I431" s="42" t="s">
        <v>3795</v>
      </c>
      <c r="J431" s="42" t="s">
        <v>25</v>
      </c>
      <c r="K431" s="42" t="n">
        <v>0</v>
      </c>
      <c r="L431" s="42" t="n">
        <v>0</v>
      </c>
      <c r="M431" s="42" t="s">
        <v>3741</v>
      </c>
      <c r="N431" s="42"/>
      <c r="O431" s="41"/>
      <c r="P431" s="41"/>
      <c r="Q431" s="41"/>
    </row>
    <row r="432" customFormat="false" ht="78" hidden="false" customHeight="true" outlineLevel="0" collapsed="false">
      <c r="A432" s="42" t="n">
        <v>428</v>
      </c>
      <c r="B432" s="42" t="s">
        <v>3796</v>
      </c>
      <c r="C432" s="42" t="s">
        <v>4172</v>
      </c>
      <c r="D432" s="42" t="s">
        <v>3538</v>
      </c>
      <c r="E432" s="42" t="s">
        <v>3539</v>
      </c>
      <c r="F432" s="42" t="n">
        <v>2026</v>
      </c>
      <c r="G432" s="42" t="s">
        <v>717</v>
      </c>
      <c r="H432" s="42" t="s">
        <v>3540</v>
      </c>
      <c r="I432" s="42" t="s">
        <v>3795</v>
      </c>
      <c r="J432" s="42" t="s">
        <v>25</v>
      </c>
      <c r="K432" s="42" t="n">
        <v>0</v>
      </c>
      <c r="L432" s="42" t="n">
        <v>0</v>
      </c>
      <c r="M432" s="42" t="s">
        <v>3741</v>
      </c>
      <c r="N432" s="42"/>
      <c r="O432" s="41"/>
      <c r="P432" s="41"/>
      <c r="Q432" s="41"/>
    </row>
    <row r="433" customFormat="false" ht="51.75" hidden="false" customHeight="true" outlineLevel="0" collapsed="false">
      <c r="A433" s="42" t="n">
        <v>429</v>
      </c>
      <c r="B433" s="42" t="s">
        <v>3796</v>
      </c>
      <c r="C433" s="42" t="s">
        <v>4173</v>
      </c>
      <c r="D433" s="42" t="s">
        <v>3556</v>
      </c>
      <c r="E433" s="42" t="s">
        <v>3557</v>
      </c>
      <c r="F433" s="42" t="n">
        <v>2025</v>
      </c>
      <c r="G433" s="42" t="s">
        <v>3558</v>
      </c>
      <c r="H433" s="42" t="s">
        <v>3559</v>
      </c>
      <c r="I433" s="42" t="s">
        <v>3795</v>
      </c>
      <c r="J433" s="42" t="s">
        <v>25</v>
      </c>
      <c r="K433" s="42" t="n">
        <v>0</v>
      </c>
      <c r="L433" s="42" t="n">
        <v>0</v>
      </c>
      <c r="M433" s="42" t="s">
        <v>3741</v>
      </c>
      <c r="N433" s="42"/>
      <c r="O433" s="41"/>
      <c r="P433" s="41"/>
      <c r="Q433" s="41"/>
    </row>
    <row r="434" customFormat="false" ht="51.75" hidden="false" customHeight="true" outlineLevel="0" collapsed="false">
      <c r="A434" s="42" t="n">
        <v>430</v>
      </c>
      <c r="B434" s="42" t="s">
        <v>3796</v>
      </c>
      <c r="C434" s="42" t="s">
        <v>4174</v>
      </c>
      <c r="D434" s="42" t="s">
        <v>3669</v>
      </c>
      <c r="E434" s="42" t="s">
        <v>3670</v>
      </c>
      <c r="F434" s="42" t="n">
        <v>2019</v>
      </c>
      <c r="G434" s="42" t="s">
        <v>3580</v>
      </c>
      <c r="H434" s="42" t="s">
        <v>3671</v>
      </c>
      <c r="I434" s="42" t="s">
        <v>3795</v>
      </c>
      <c r="J434" s="42" t="s">
        <v>25</v>
      </c>
      <c r="K434" s="42" t="n">
        <v>0</v>
      </c>
      <c r="L434" s="42" t="n">
        <v>0</v>
      </c>
      <c r="M434" s="42" t="s">
        <v>3741</v>
      </c>
      <c r="N434" s="42"/>
      <c r="O434" s="41"/>
      <c r="P434" s="41"/>
      <c r="Q434" s="41"/>
    </row>
    <row r="435" customFormat="false" ht="64.5" hidden="false" customHeight="true" outlineLevel="0" collapsed="false">
      <c r="A435" s="43"/>
      <c r="B435" s="43" t="s">
        <v>4175</v>
      </c>
      <c r="C435" s="43" t="s">
        <v>4176</v>
      </c>
      <c r="D435" s="43" t="s">
        <v>1307</v>
      </c>
      <c r="E435" s="43" t="s">
        <v>1308</v>
      </c>
      <c r="F435" s="43" t="n">
        <v>2023</v>
      </c>
      <c r="G435" s="43" t="s">
        <v>1309</v>
      </c>
      <c r="H435" s="43" t="s">
        <v>1310</v>
      </c>
      <c r="I435" s="43" t="s">
        <v>409</v>
      </c>
      <c r="J435" s="43" t="s">
        <v>514</v>
      </c>
      <c r="K435" s="43" t="n">
        <v>104</v>
      </c>
      <c r="L435" s="43" t="n">
        <v>26</v>
      </c>
      <c r="M435" s="43" t="s">
        <v>4177</v>
      </c>
      <c r="N435" s="43" t="s">
        <v>4178</v>
      </c>
      <c r="O435" s="41"/>
      <c r="P435" s="41"/>
      <c r="Q435" s="41"/>
    </row>
    <row r="436" customFormat="false" ht="64.5" hidden="false" customHeight="true" outlineLevel="0" collapsed="false">
      <c r="A436" s="43"/>
      <c r="B436" s="43" t="s">
        <v>4175</v>
      </c>
      <c r="C436" s="43" t="s">
        <v>4179</v>
      </c>
      <c r="D436" s="43" t="s">
        <v>3189</v>
      </c>
      <c r="E436" s="43" t="s">
        <v>3190</v>
      </c>
      <c r="F436" s="43" t="n">
        <v>2020</v>
      </c>
      <c r="G436" s="43" t="s">
        <v>2826</v>
      </c>
      <c r="H436" s="43" t="s">
        <v>3191</v>
      </c>
      <c r="I436" s="43" t="s">
        <v>3740</v>
      </c>
      <c r="J436" s="43" t="s">
        <v>514</v>
      </c>
      <c r="K436" s="43" t="n">
        <v>67</v>
      </c>
      <c r="L436" s="43" t="n">
        <v>9.57</v>
      </c>
      <c r="M436" s="43" t="s">
        <v>4177</v>
      </c>
      <c r="N436" s="43" t="s">
        <v>4180</v>
      </c>
      <c r="O436" s="41"/>
      <c r="P436" s="41"/>
      <c r="Q436" s="41"/>
    </row>
    <row r="437" customFormat="false" ht="51.75" hidden="false" customHeight="true" outlineLevel="0" collapsed="false">
      <c r="A437" s="43"/>
      <c r="B437" s="43" t="s">
        <v>4175</v>
      </c>
      <c r="C437" s="43" t="s">
        <v>4181</v>
      </c>
      <c r="D437" s="43" t="s">
        <v>2932</v>
      </c>
      <c r="E437" s="43" t="s">
        <v>2933</v>
      </c>
      <c r="F437" s="43" t="n">
        <v>2025</v>
      </c>
      <c r="G437" s="43" t="s">
        <v>2934</v>
      </c>
      <c r="H437" s="43" t="s">
        <v>2935</v>
      </c>
      <c r="I437" s="43" t="s">
        <v>3740</v>
      </c>
      <c r="J437" s="43" t="s">
        <v>514</v>
      </c>
      <c r="K437" s="43" t="n">
        <v>11</v>
      </c>
      <c r="L437" s="43" t="n">
        <v>5.5</v>
      </c>
      <c r="M437" s="43" t="s">
        <v>4177</v>
      </c>
      <c r="N437" s="43" t="s">
        <v>4180</v>
      </c>
      <c r="O437" s="41"/>
      <c r="P437" s="41"/>
      <c r="Q437" s="41"/>
    </row>
    <row r="438" customFormat="false" ht="51.75" hidden="false" customHeight="true" outlineLevel="0" collapsed="false">
      <c r="A438" s="43"/>
      <c r="B438" s="43" t="s">
        <v>4175</v>
      </c>
      <c r="C438" s="43" t="s">
        <v>4182</v>
      </c>
      <c r="D438" s="43" t="s">
        <v>3325</v>
      </c>
      <c r="E438" s="43" t="s">
        <v>3326</v>
      </c>
      <c r="F438" s="43" t="n">
        <v>2018</v>
      </c>
      <c r="G438" s="43" t="s">
        <v>95</v>
      </c>
      <c r="H438" s="43" t="s">
        <v>3327</v>
      </c>
      <c r="I438" s="43" t="s">
        <v>3740</v>
      </c>
      <c r="J438" s="43" t="s">
        <v>514</v>
      </c>
      <c r="K438" s="43" t="n">
        <v>29</v>
      </c>
      <c r="L438" s="43" t="n">
        <v>3.22</v>
      </c>
      <c r="M438" s="43" t="s">
        <v>4177</v>
      </c>
      <c r="N438" s="43" t="s">
        <v>4183</v>
      </c>
      <c r="O438" s="41"/>
      <c r="P438" s="41"/>
      <c r="Q438" s="41"/>
    </row>
    <row r="439" customFormat="false" ht="51.75" hidden="false" customHeight="true" outlineLevel="0" collapsed="false">
      <c r="A439" s="43"/>
      <c r="B439" s="43" t="s">
        <v>4175</v>
      </c>
      <c r="C439" s="43" t="s">
        <v>4184</v>
      </c>
      <c r="D439" s="43" t="s">
        <v>2978</v>
      </c>
      <c r="E439" s="43" t="s">
        <v>2979</v>
      </c>
      <c r="F439" s="43" t="n">
        <v>2024</v>
      </c>
      <c r="G439" s="43" t="s">
        <v>23</v>
      </c>
      <c r="H439" s="43" t="s">
        <v>2980</v>
      </c>
      <c r="I439" s="43" t="s">
        <v>3740</v>
      </c>
      <c r="J439" s="43" t="s">
        <v>514</v>
      </c>
      <c r="K439" s="43" t="n">
        <v>8</v>
      </c>
      <c r="L439" s="43" t="n">
        <v>2.67</v>
      </c>
      <c r="M439" s="43" t="s">
        <v>4177</v>
      </c>
      <c r="N439" s="43" t="s">
        <v>4180</v>
      </c>
      <c r="O439" s="41"/>
      <c r="P439" s="41"/>
      <c r="Q439" s="41"/>
    </row>
    <row r="440" customFormat="false" ht="25.5" hidden="false" customHeight="true" outlineLevel="0" collapsed="false">
      <c r="A440" s="43"/>
      <c r="B440" s="43" t="s">
        <v>4175</v>
      </c>
      <c r="C440" s="43" t="s">
        <v>4185</v>
      </c>
      <c r="D440" s="43" t="s">
        <v>3013</v>
      </c>
      <c r="E440" s="43" t="s">
        <v>3014</v>
      </c>
      <c r="F440" s="43" t="n">
        <v>2024</v>
      </c>
      <c r="G440" s="43" t="s">
        <v>3015</v>
      </c>
      <c r="H440" s="43" t="s">
        <v>3016</v>
      </c>
      <c r="I440" s="43" t="s">
        <v>3740</v>
      </c>
      <c r="J440" s="43" t="s">
        <v>514</v>
      </c>
      <c r="K440" s="43" t="n">
        <v>8</v>
      </c>
      <c r="L440" s="43" t="n">
        <v>2.67</v>
      </c>
      <c r="M440" s="43" t="s">
        <v>4177</v>
      </c>
      <c r="N440" s="43" t="s">
        <v>4186</v>
      </c>
      <c r="O440" s="41"/>
      <c r="P440" s="41"/>
      <c r="Q440" s="41"/>
    </row>
    <row r="441" customFormat="false" ht="25.5" hidden="false" customHeight="true" outlineLevel="0" collapsed="false">
      <c r="A441" s="43"/>
      <c r="B441" s="43" t="s">
        <v>4175</v>
      </c>
      <c r="C441" s="43" t="s">
        <v>4187</v>
      </c>
      <c r="D441" s="43" t="s">
        <v>1725</v>
      </c>
      <c r="E441" s="43" t="s">
        <v>1726</v>
      </c>
      <c r="F441" s="43" t="n">
        <v>2021</v>
      </c>
      <c r="G441" s="43" t="s">
        <v>1333</v>
      </c>
      <c r="H441" s="43" t="s">
        <v>1727</v>
      </c>
      <c r="I441" s="43" t="s">
        <v>3743</v>
      </c>
      <c r="J441" s="43" t="s">
        <v>514</v>
      </c>
      <c r="K441" s="43" t="n">
        <v>13</v>
      </c>
      <c r="L441" s="43" t="n">
        <v>2.17</v>
      </c>
      <c r="M441" s="43" t="s">
        <v>4177</v>
      </c>
      <c r="N441" s="43" t="s">
        <v>4188</v>
      </c>
      <c r="O441" s="41"/>
      <c r="P441" s="41"/>
      <c r="Q441" s="41"/>
    </row>
    <row r="442" customFormat="false" ht="25.5" hidden="false" customHeight="true" outlineLevel="0" collapsed="false">
      <c r="A442" s="43"/>
      <c r="B442" s="43" t="s">
        <v>4175</v>
      </c>
      <c r="C442" s="43" t="s">
        <v>4189</v>
      </c>
      <c r="D442" s="43" t="s">
        <v>1981</v>
      </c>
      <c r="E442" s="43" t="s">
        <v>1982</v>
      </c>
      <c r="F442" s="43" t="n">
        <v>2020</v>
      </c>
      <c r="G442" s="43" t="s">
        <v>1983</v>
      </c>
      <c r="H442" s="43" t="s">
        <v>1984</v>
      </c>
      <c r="I442" s="43" t="s">
        <v>3743</v>
      </c>
      <c r="J442" s="43" t="s">
        <v>514</v>
      </c>
      <c r="K442" s="43" t="n">
        <v>9</v>
      </c>
      <c r="L442" s="43" t="n">
        <v>1.29</v>
      </c>
      <c r="M442" s="43" t="s">
        <v>4177</v>
      </c>
      <c r="N442" s="43" t="s">
        <v>4188</v>
      </c>
      <c r="O442" s="41"/>
      <c r="P442" s="41"/>
      <c r="Q442" s="41"/>
    </row>
    <row r="443" customFormat="false" ht="25.5" hidden="false" customHeight="true" outlineLevel="0" collapsed="false">
      <c r="A443" s="43"/>
      <c r="B443" s="43" t="s">
        <v>4175</v>
      </c>
      <c r="C443" s="43" t="s">
        <v>4190</v>
      </c>
      <c r="D443" s="43" t="s">
        <v>2265</v>
      </c>
      <c r="E443" s="43" t="s">
        <v>2266</v>
      </c>
      <c r="F443" s="43" t="n">
        <v>2018</v>
      </c>
      <c r="G443" s="43" t="s">
        <v>2267</v>
      </c>
      <c r="H443" s="43" t="s">
        <v>2268</v>
      </c>
      <c r="I443" s="43" t="s">
        <v>409</v>
      </c>
      <c r="J443" s="43" t="s">
        <v>514</v>
      </c>
      <c r="K443" s="43" t="n">
        <v>11</v>
      </c>
      <c r="L443" s="43" t="n">
        <v>1.22</v>
      </c>
      <c r="M443" s="43" t="s">
        <v>4177</v>
      </c>
      <c r="N443" s="43" t="s">
        <v>4178</v>
      </c>
      <c r="O443" s="41"/>
      <c r="P443" s="41"/>
      <c r="Q443" s="41"/>
    </row>
    <row r="444" customFormat="false" ht="15" hidden="false" customHeight="true" outlineLevel="0" collapsed="false">
      <c r="A444" s="44"/>
      <c r="B444" s="44" t="s">
        <v>4175</v>
      </c>
      <c r="C444" s="44" t="s">
        <v>4191</v>
      </c>
      <c r="D444" s="44" t="s">
        <v>3237</v>
      </c>
      <c r="E444" s="44" t="s">
        <v>3238</v>
      </c>
      <c r="F444" s="44" t="n">
        <v>2020</v>
      </c>
      <c r="G444" s="44" t="s">
        <v>2850</v>
      </c>
      <c r="H444" s="44" t="s">
        <v>3239</v>
      </c>
      <c r="I444" s="44" t="s">
        <v>3740</v>
      </c>
      <c r="J444" s="44" t="s">
        <v>514</v>
      </c>
      <c r="K444" s="44" t="n">
        <v>8</v>
      </c>
      <c r="L444" s="44" t="n">
        <v>1.14</v>
      </c>
      <c r="M444" s="44" t="s">
        <v>4177</v>
      </c>
      <c r="N444" s="44" t="s">
        <v>4188</v>
      </c>
      <c r="O444" s="45"/>
      <c r="P444" s="45"/>
      <c r="Q444" s="45"/>
    </row>
    <row r="445" customFormat="false" ht="15" hidden="false" customHeight="true" outlineLevel="0" collapsed="false">
      <c r="A445" s="44"/>
      <c r="B445" s="44" t="s">
        <v>4175</v>
      </c>
      <c r="C445" s="44" t="s">
        <v>4192</v>
      </c>
      <c r="D445" s="44" t="s">
        <v>2065</v>
      </c>
      <c r="E445" s="44" t="s">
        <v>2066</v>
      </c>
      <c r="F445" s="44" t="n">
        <v>2019</v>
      </c>
      <c r="G445" s="44" t="s">
        <v>1272</v>
      </c>
      <c r="H445" s="44" t="s">
        <v>2067</v>
      </c>
      <c r="I445" s="44" t="s">
        <v>409</v>
      </c>
      <c r="J445" s="44" t="s">
        <v>514</v>
      </c>
      <c r="K445" s="44" t="n">
        <v>7</v>
      </c>
      <c r="L445" s="44" t="n">
        <v>0.88</v>
      </c>
      <c r="M445" s="44" t="s">
        <v>4177</v>
      </c>
      <c r="N445" s="44" t="s">
        <v>4178</v>
      </c>
      <c r="O445" s="45"/>
      <c r="P445" s="45"/>
      <c r="Q445" s="45"/>
    </row>
    <row r="446" customFormat="false" ht="15" hidden="false" customHeight="true" outlineLevel="0" collapsed="false">
      <c r="A446" s="44"/>
      <c r="B446" s="44" t="s">
        <v>4175</v>
      </c>
      <c r="C446" s="44" t="s">
        <v>4193</v>
      </c>
      <c r="D446" s="44" t="s">
        <v>1037</v>
      </c>
      <c r="E446" s="44" t="s">
        <v>1038</v>
      </c>
      <c r="F446" s="44" t="n">
        <v>2024</v>
      </c>
      <c r="G446" s="44" t="s">
        <v>954</v>
      </c>
      <c r="H446" s="44" t="s">
        <v>1039</v>
      </c>
      <c r="I446" s="44" t="s">
        <v>409</v>
      </c>
      <c r="J446" s="44" t="s">
        <v>514</v>
      </c>
      <c r="K446" s="44" t="n">
        <v>2</v>
      </c>
      <c r="L446" s="44" t="n">
        <v>0.67</v>
      </c>
      <c r="M446" s="44" t="s">
        <v>4177</v>
      </c>
      <c r="N446" s="44" t="s">
        <v>4188</v>
      </c>
      <c r="O446" s="45"/>
      <c r="P446" s="45"/>
      <c r="Q446" s="45"/>
    </row>
    <row r="447" customFormat="false" ht="15" hidden="false" customHeight="true" outlineLevel="0" collapsed="false">
      <c r="A447" s="44"/>
      <c r="B447" s="44" t="s">
        <v>4175</v>
      </c>
      <c r="C447" s="44" t="s">
        <v>4194</v>
      </c>
      <c r="D447" s="44" t="s">
        <v>1179</v>
      </c>
      <c r="E447" s="44" t="s">
        <v>1180</v>
      </c>
      <c r="F447" s="44" t="n">
        <v>2024</v>
      </c>
      <c r="G447" s="44" t="s">
        <v>1181</v>
      </c>
      <c r="H447" s="44" t="s">
        <v>1182</v>
      </c>
      <c r="I447" s="44" t="s">
        <v>409</v>
      </c>
      <c r="J447" s="44" t="s">
        <v>514</v>
      </c>
      <c r="K447" s="44" t="n">
        <v>2</v>
      </c>
      <c r="L447" s="44" t="n">
        <v>0.67</v>
      </c>
      <c r="M447" s="44" t="s">
        <v>4177</v>
      </c>
      <c r="N447" s="44" t="s">
        <v>4178</v>
      </c>
      <c r="O447" s="45"/>
      <c r="P447" s="45"/>
      <c r="Q447" s="45"/>
    </row>
    <row r="448" customFormat="false" ht="15" hidden="false" customHeight="true" outlineLevel="0" collapsed="false">
      <c r="A448" s="44"/>
      <c r="B448" s="44" t="s">
        <v>4175</v>
      </c>
      <c r="C448" s="44" t="s">
        <v>4195</v>
      </c>
      <c r="D448" s="44" t="s">
        <v>3351</v>
      </c>
      <c r="E448" s="44" t="s">
        <v>3352</v>
      </c>
      <c r="F448" s="44" t="n">
        <v>2018</v>
      </c>
      <c r="G448" s="44" t="s">
        <v>3263</v>
      </c>
      <c r="H448" s="44" t="s">
        <v>3353</v>
      </c>
      <c r="I448" s="44" t="s">
        <v>3740</v>
      </c>
      <c r="J448" s="44" t="s">
        <v>514</v>
      </c>
      <c r="K448" s="44" t="n">
        <v>5</v>
      </c>
      <c r="L448" s="44" t="n">
        <v>0.56</v>
      </c>
      <c r="M448" s="44" t="s">
        <v>4177</v>
      </c>
      <c r="N448" s="44" t="s">
        <v>4180</v>
      </c>
      <c r="O448" s="45"/>
      <c r="P448" s="45"/>
      <c r="Q448" s="45"/>
    </row>
    <row r="449" customFormat="false" ht="15" hidden="false" customHeight="true" outlineLevel="0" collapsed="false">
      <c r="A449" s="44"/>
      <c r="B449" s="44" t="s">
        <v>4175</v>
      </c>
      <c r="C449" s="44" t="s">
        <v>4196</v>
      </c>
      <c r="D449" s="44" t="s">
        <v>3212</v>
      </c>
      <c r="E449" s="44" t="s">
        <v>3213</v>
      </c>
      <c r="F449" s="44" t="n">
        <v>2020</v>
      </c>
      <c r="G449" s="44" t="s">
        <v>3214</v>
      </c>
      <c r="H449" s="44" t="s">
        <v>3215</v>
      </c>
      <c r="I449" s="44" t="s">
        <v>3740</v>
      </c>
      <c r="J449" s="44" t="s">
        <v>514</v>
      </c>
      <c r="K449" s="44" t="n">
        <v>1</v>
      </c>
      <c r="L449" s="44" t="n">
        <v>0.14</v>
      </c>
      <c r="M449" s="44" t="s">
        <v>4177</v>
      </c>
      <c r="N449" s="44" t="s">
        <v>4183</v>
      </c>
      <c r="O449" s="45"/>
      <c r="P449" s="45"/>
      <c r="Q449" s="45"/>
    </row>
    <row r="450" customFormat="false" ht="15" hidden="false" customHeight="true" outlineLevel="0" collapsed="false">
      <c r="A450" s="44"/>
      <c r="B450" s="44" t="s">
        <v>4175</v>
      </c>
      <c r="C450" s="44" t="s">
        <v>4197</v>
      </c>
      <c r="D450" s="44" t="s">
        <v>2726</v>
      </c>
      <c r="E450" s="44" t="s">
        <v>2727</v>
      </c>
      <c r="F450" s="44" t="n">
        <v>2026</v>
      </c>
      <c r="G450" s="44" t="s">
        <v>2728</v>
      </c>
      <c r="H450" s="44" t="s">
        <v>2729</v>
      </c>
      <c r="I450" s="44" t="s">
        <v>3767</v>
      </c>
      <c r="J450" s="44" t="s">
        <v>514</v>
      </c>
      <c r="K450" s="44" t="n">
        <v>0</v>
      </c>
      <c r="L450" s="44" t="n">
        <v>0</v>
      </c>
      <c r="M450" s="44" t="s">
        <v>4177</v>
      </c>
      <c r="N450" s="44" t="s">
        <v>4178</v>
      </c>
      <c r="O450" s="45"/>
      <c r="P450" s="45"/>
      <c r="Q450" s="45"/>
    </row>
    <row r="451" customFormat="false" ht="15" hidden="false" customHeight="true" outlineLevel="0" collapsed="false">
      <c r="A451" s="44"/>
      <c r="B451" s="44" t="s">
        <v>4175</v>
      </c>
      <c r="C451" s="44" t="s">
        <v>4198</v>
      </c>
      <c r="D451" s="44" t="s">
        <v>2732</v>
      </c>
      <c r="E451" s="44" t="s">
        <v>2738</v>
      </c>
      <c r="F451" s="44" t="n">
        <v>2025</v>
      </c>
      <c r="G451" s="44" t="s">
        <v>2734</v>
      </c>
      <c r="H451" s="44"/>
      <c r="I451" s="44" t="s">
        <v>3767</v>
      </c>
      <c r="J451" s="44" t="s">
        <v>514</v>
      </c>
      <c r="K451" s="44" t="n">
        <v>0</v>
      </c>
      <c r="L451" s="44" t="n">
        <v>0</v>
      </c>
      <c r="M451" s="44" t="s">
        <v>4177</v>
      </c>
      <c r="N451" s="44" t="s">
        <v>4199</v>
      </c>
      <c r="O451" s="45"/>
      <c r="P451" s="45"/>
      <c r="Q451" s="45"/>
    </row>
    <row r="452" customFormat="false" ht="15" hidden="false" customHeight="true" outlineLevel="0" collapsed="false">
      <c r="A452" s="44"/>
      <c r="B452" s="44" t="s">
        <v>4175</v>
      </c>
      <c r="C452" s="44" t="s">
        <v>4200</v>
      </c>
      <c r="D452" s="44" t="s">
        <v>2743</v>
      </c>
      <c r="E452" s="44" t="s">
        <v>2744</v>
      </c>
      <c r="F452" s="44" t="n">
        <v>2025</v>
      </c>
      <c r="G452" s="44" t="s">
        <v>2745</v>
      </c>
      <c r="H452" s="44"/>
      <c r="I452" s="44" t="s">
        <v>3767</v>
      </c>
      <c r="J452" s="44" t="s">
        <v>514</v>
      </c>
      <c r="K452" s="44" t="n">
        <v>0</v>
      </c>
      <c r="L452" s="44" t="n">
        <v>0</v>
      </c>
      <c r="M452" s="44" t="s">
        <v>4177</v>
      </c>
      <c r="N452" s="44" t="s">
        <v>4178</v>
      </c>
      <c r="O452" s="45"/>
      <c r="P452" s="45"/>
      <c r="Q452" s="45"/>
    </row>
    <row r="453" customFormat="false" ht="15" hidden="false" customHeight="true" outlineLevel="0" collapsed="false">
      <c r="A453" s="44"/>
      <c r="B453" s="44" t="s">
        <v>4175</v>
      </c>
      <c r="C453" s="44" t="s">
        <v>4201</v>
      </c>
      <c r="D453" s="44" t="s">
        <v>2758</v>
      </c>
      <c r="E453" s="44" t="s">
        <v>2759</v>
      </c>
      <c r="F453" s="44" t="n">
        <v>2022</v>
      </c>
      <c r="G453" s="44" t="s">
        <v>2759</v>
      </c>
      <c r="H453" s="44"/>
      <c r="I453" s="44" t="s">
        <v>3767</v>
      </c>
      <c r="J453" s="44" t="s">
        <v>514</v>
      </c>
      <c r="K453" s="44" t="n">
        <v>0</v>
      </c>
      <c r="L453" s="44" t="n">
        <v>0</v>
      </c>
      <c r="M453" s="44" t="s">
        <v>4177</v>
      </c>
      <c r="N453" s="44" t="s">
        <v>4178</v>
      </c>
      <c r="O453" s="45"/>
      <c r="P453" s="45"/>
      <c r="Q453" s="45"/>
    </row>
    <row r="454" customFormat="false" ht="15" hidden="false" customHeight="true" outlineLevel="0" collapsed="false">
      <c r="A454" s="44"/>
      <c r="B454" s="44" t="s">
        <v>4175</v>
      </c>
      <c r="C454" s="44" t="s">
        <v>4202</v>
      </c>
      <c r="D454" s="44" t="s">
        <v>2787</v>
      </c>
      <c r="E454" s="44" t="s">
        <v>2788</v>
      </c>
      <c r="F454" s="44" t="n">
        <v>2019</v>
      </c>
      <c r="G454" s="44" t="s">
        <v>2789</v>
      </c>
      <c r="H454" s="44"/>
      <c r="I454" s="44" t="s">
        <v>3767</v>
      </c>
      <c r="J454" s="44" t="s">
        <v>514</v>
      </c>
      <c r="K454" s="44" t="n">
        <v>0</v>
      </c>
      <c r="L454" s="44" t="n">
        <v>0</v>
      </c>
      <c r="M454" s="44" t="s">
        <v>4177</v>
      </c>
      <c r="N454" s="44" t="s">
        <v>4199</v>
      </c>
      <c r="O454" s="45"/>
      <c r="P454" s="45"/>
      <c r="Q454" s="45"/>
    </row>
    <row r="455" customFormat="false" ht="15" hidden="false" customHeight="true" outlineLevel="0" collapsed="false">
      <c r="A455" s="44"/>
      <c r="B455" s="44" t="s">
        <v>4175</v>
      </c>
      <c r="C455" s="44" t="s">
        <v>4203</v>
      </c>
      <c r="D455" s="44" t="s">
        <v>2787</v>
      </c>
      <c r="E455" s="44" t="s">
        <v>2792</v>
      </c>
      <c r="F455" s="44" t="n">
        <v>2019</v>
      </c>
      <c r="G455" s="44" t="s">
        <v>2789</v>
      </c>
      <c r="H455" s="44"/>
      <c r="I455" s="44" t="s">
        <v>3767</v>
      </c>
      <c r="J455" s="44" t="s">
        <v>514</v>
      </c>
      <c r="K455" s="44" t="n">
        <v>0</v>
      </c>
      <c r="L455" s="44" t="n">
        <v>0</v>
      </c>
      <c r="M455" s="44" t="s">
        <v>4177</v>
      </c>
      <c r="N455" s="44" t="s">
        <v>4199</v>
      </c>
      <c r="O455" s="45"/>
      <c r="P455" s="45"/>
      <c r="Q455" s="45"/>
    </row>
    <row r="456" customFormat="false" ht="15" hidden="false" customHeight="true" outlineLevel="0" collapsed="false">
      <c r="A456" s="44"/>
      <c r="B456" s="44" t="s">
        <v>4175</v>
      </c>
      <c r="C456" s="44" t="s">
        <v>4204</v>
      </c>
      <c r="D456" s="44" t="s">
        <v>2163</v>
      </c>
      <c r="E456" s="44" t="s">
        <v>2164</v>
      </c>
      <c r="F456" s="44" t="n">
        <v>2019</v>
      </c>
      <c r="G456" s="44" t="s">
        <v>2165</v>
      </c>
      <c r="H456" s="44"/>
      <c r="I456" s="44" t="s">
        <v>409</v>
      </c>
      <c r="J456" s="44" t="s">
        <v>514</v>
      </c>
      <c r="K456" s="44" t="n">
        <v>0</v>
      </c>
      <c r="L456" s="44" t="n">
        <v>0</v>
      </c>
      <c r="M456" s="44" t="s">
        <v>4177</v>
      </c>
      <c r="N456" s="44" t="s">
        <v>4183</v>
      </c>
      <c r="O456" s="45"/>
      <c r="P456" s="45"/>
      <c r="Q456" s="45"/>
    </row>
    <row r="457" customFormat="false" ht="15" hidden="false" customHeight="true" outlineLevel="0" collapsed="false">
      <c r="A457" s="44"/>
      <c r="B457" s="44" t="s">
        <v>4175</v>
      </c>
      <c r="C457" s="44" t="s">
        <v>4205</v>
      </c>
      <c r="D457" s="44"/>
      <c r="E457" s="44" t="s">
        <v>2795</v>
      </c>
      <c r="F457" s="44" t="n">
        <v>2019</v>
      </c>
      <c r="G457" s="44" t="s">
        <v>2796</v>
      </c>
      <c r="H457" s="44" t="s">
        <v>2797</v>
      </c>
      <c r="I457" s="44" t="s">
        <v>3767</v>
      </c>
      <c r="J457" s="44" t="s">
        <v>514</v>
      </c>
      <c r="K457" s="44" t="n">
        <v>0</v>
      </c>
      <c r="L457" s="44" t="n">
        <v>0</v>
      </c>
      <c r="M457" s="44" t="s">
        <v>4177</v>
      </c>
      <c r="N457" s="44" t="s">
        <v>4199</v>
      </c>
      <c r="O457" s="45"/>
      <c r="P457" s="45"/>
      <c r="Q457" s="45"/>
    </row>
    <row r="458" customFormat="false" ht="15" hidden="false" customHeight="true" outlineLevel="0" collapsed="false">
      <c r="A458" s="44"/>
      <c r="B458" s="44" t="s">
        <v>4175</v>
      </c>
      <c r="C458" s="44" t="s">
        <v>4206</v>
      </c>
      <c r="D458" s="44"/>
      <c r="E458" s="44" t="s">
        <v>2805</v>
      </c>
      <c r="F458" s="44" t="n">
        <v>2019</v>
      </c>
      <c r="G458" s="44" t="s">
        <v>2796</v>
      </c>
      <c r="H458" s="44" t="s">
        <v>2806</v>
      </c>
      <c r="I458" s="44" t="s">
        <v>3767</v>
      </c>
      <c r="J458" s="44" t="s">
        <v>514</v>
      </c>
      <c r="K458" s="44" t="n">
        <v>0</v>
      </c>
      <c r="L458" s="44" t="n">
        <v>0</v>
      </c>
      <c r="M458" s="44" t="s">
        <v>4177</v>
      </c>
      <c r="N458" s="44" t="s">
        <v>4199</v>
      </c>
      <c r="O458" s="45"/>
      <c r="P458" s="45"/>
      <c r="Q458" s="45"/>
    </row>
    <row r="459" customFormat="false" ht="15" hidden="false" customHeight="true" outlineLevel="0" collapsed="false">
      <c r="A459" s="44"/>
      <c r="B459" s="44" t="s">
        <v>4175</v>
      </c>
      <c r="C459" s="44" t="s">
        <v>4207</v>
      </c>
      <c r="D459" s="44"/>
      <c r="E459" s="44" t="s">
        <v>2809</v>
      </c>
      <c r="F459" s="44" t="n">
        <v>2017</v>
      </c>
      <c r="G459" s="44" t="s">
        <v>2810</v>
      </c>
      <c r="H459" s="44"/>
      <c r="I459" s="44" t="s">
        <v>3767</v>
      </c>
      <c r="J459" s="44" t="s">
        <v>514</v>
      </c>
      <c r="K459" s="44" t="n">
        <v>0</v>
      </c>
      <c r="L459" s="44" t="n">
        <v>0</v>
      </c>
      <c r="M459" s="44" t="s">
        <v>4177</v>
      </c>
      <c r="N459" s="44" t="s">
        <v>4199</v>
      </c>
      <c r="O459" s="45"/>
      <c r="P459" s="45"/>
      <c r="Q459" s="45"/>
    </row>
    <row r="460" customFormat="false" ht="15" hidden="false" customHeight="true" outlineLevel="0" collapsed="false">
      <c r="A460" s="44"/>
      <c r="B460" s="44" t="s">
        <v>4175</v>
      </c>
      <c r="C460" s="44" t="s">
        <v>4208</v>
      </c>
      <c r="D460" s="44"/>
      <c r="E460" s="44" t="s">
        <v>2813</v>
      </c>
      <c r="F460" s="44" t="n">
        <v>2017</v>
      </c>
      <c r="G460" s="44" t="s">
        <v>2810</v>
      </c>
      <c r="H460" s="44"/>
      <c r="I460" s="44" t="s">
        <v>3767</v>
      </c>
      <c r="J460" s="44" t="s">
        <v>514</v>
      </c>
      <c r="K460" s="44" t="n">
        <v>0</v>
      </c>
      <c r="L460" s="44" t="n">
        <v>0</v>
      </c>
      <c r="M460" s="44" t="s">
        <v>4177</v>
      </c>
      <c r="N460" s="44" t="s">
        <v>4199</v>
      </c>
      <c r="O460" s="45"/>
      <c r="P460" s="45"/>
      <c r="Q460" s="45"/>
    </row>
    <row r="461" customFormat="false" ht="15" hidden="false" customHeight="true" outlineLevel="0" collapsed="false">
      <c r="A461" s="44"/>
      <c r="B461" s="44" t="s">
        <v>4175</v>
      </c>
      <c r="C461" s="44" t="s">
        <v>4209</v>
      </c>
      <c r="D461" s="44"/>
      <c r="E461" s="44" t="s">
        <v>2816</v>
      </c>
      <c r="F461" s="44" t="n">
        <v>2017</v>
      </c>
      <c r="G461" s="44" t="s">
        <v>2810</v>
      </c>
      <c r="H461" s="44"/>
      <c r="I461" s="44" t="s">
        <v>3767</v>
      </c>
      <c r="J461" s="44" t="s">
        <v>514</v>
      </c>
      <c r="K461" s="44" t="n">
        <v>0</v>
      </c>
      <c r="L461" s="44" t="n">
        <v>0</v>
      </c>
      <c r="M461" s="44" t="s">
        <v>4177</v>
      </c>
      <c r="N461" s="44" t="s">
        <v>4199</v>
      </c>
      <c r="O461" s="45"/>
      <c r="P461" s="45"/>
      <c r="Q461" s="45"/>
    </row>
    <row r="462" customFormat="false" ht="15" hidden="false" customHeight="true" outlineLevel="0" collapsed="false">
      <c r="A462" s="44"/>
      <c r="B462" s="44" t="s">
        <v>4175</v>
      </c>
      <c r="C462" s="44" t="s">
        <v>4210</v>
      </c>
      <c r="D462" s="44"/>
      <c r="E462" s="44" t="s">
        <v>2819</v>
      </c>
      <c r="F462" s="44" t="n">
        <v>2017</v>
      </c>
      <c r="G462" s="44" t="s">
        <v>2810</v>
      </c>
      <c r="H462" s="44"/>
      <c r="I462" s="44" t="s">
        <v>3767</v>
      </c>
      <c r="J462" s="44" t="s">
        <v>514</v>
      </c>
      <c r="K462" s="44" t="n">
        <v>0</v>
      </c>
      <c r="L462" s="44" t="n">
        <v>0</v>
      </c>
      <c r="M462" s="44" t="s">
        <v>4177</v>
      </c>
      <c r="N462" s="44" t="s">
        <v>4199</v>
      </c>
      <c r="O462" s="45"/>
      <c r="P462" s="45"/>
      <c r="Q462" s="45"/>
    </row>
    <row r="463" customFormat="false" ht="15" hidden="false" customHeight="true" outlineLevel="0" collapsed="false">
      <c r="A463" s="44"/>
      <c r="B463" s="44" t="s">
        <v>4175</v>
      </c>
      <c r="C463" s="44" t="s">
        <v>4211</v>
      </c>
      <c r="D463" s="44" t="s">
        <v>3674</v>
      </c>
      <c r="E463" s="44" t="s">
        <v>3675</v>
      </c>
      <c r="F463" s="44" t="n">
        <v>2022</v>
      </c>
      <c r="G463" s="44" t="s">
        <v>3676</v>
      </c>
      <c r="H463" s="44" t="s">
        <v>3677</v>
      </c>
      <c r="I463" s="44" t="s">
        <v>3795</v>
      </c>
      <c r="J463" s="44" t="s">
        <v>514</v>
      </c>
      <c r="K463" s="44" t="n">
        <v>0</v>
      </c>
      <c r="L463" s="44" t="n">
        <v>0</v>
      </c>
      <c r="M463" s="44" t="s">
        <v>4177</v>
      </c>
      <c r="N463" s="44" t="s">
        <v>4178</v>
      </c>
      <c r="O463" s="45"/>
      <c r="P463" s="45"/>
      <c r="Q463" s="45"/>
    </row>
    <row r="464" customFormat="false" ht="15" hidden="false" customHeight="true" outlineLevel="0" collapsed="false">
      <c r="A464" s="44"/>
      <c r="B464" s="44" t="s">
        <v>4175</v>
      </c>
      <c r="C464" s="44" t="s">
        <v>4212</v>
      </c>
      <c r="D464" s="44" t="s">
        <v>3689</v>
      </c>
      <c r="E464" s="44" t="s">
        <v>3690</v>
      </c>
      <c r="F464" s="44" t="n">
        <v>2021</v>
      </c>
      <c r="G464" s="44" t="s">
        <v>3525</v>
      </c>
      <c r="H464" s="44" t="s">
        <v>3691</v>
      </c>
      <c r="I464" s="44" t="s">
        <v>3795</v>
      </c>
      <c r="J464" s="44" t="s">
        <v>514</v>
      </c>
      <c r="K464" s="44" t="n">
        <v>0</v>
      </c>
      <c r="L464" s="44" t="n">
        <v>0</v>
      </c>
      <c r="M464" s="44" t="s">
        <v>4177</v>
      </c>
      <c r="N464" s="44" t="s">
        <v>4183</v>
      </c>
      <c r="O464" s="45"/>
      <c r="P464" s="45"/>
      <c r="Q464" s="45"/>
    </row>
  </sheetData>
  <mergeCells count="1">
    <mergeCell ref="A2:P2"/>
  </mergeCells>
  <dataValidations count="2">
    <dataValidation allowBlank="true" errorStyle="stop" operator="between" showDropDown="false" showErrorMessage="false" showInputMessage="false" sqref="O5:O443" type="list">
      <formula1>"Y,N"</formula1>
      <formula2>0</formula2>
    </dataValidation>
    <dataValidation allowBlank="true" errorStyle="stop" operator="between" showDropDown="false" showErrorMessage="false" showInputMessage="false" sqref="P5:P443" type="list">
      <formula1>"Include,Exclude"</formula1>
      <formula2>0</formula2>
    </dataValidation>
  </dataValidations>
  <printOptions headings="false" gridLines="false" gridLinesSet="true" horizontalCentered="false" verticalCentered="false"/>
  <pageMargins left="0.75" right="0.75" top="1" bottom="1"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LibreOffice/26.8.0.3$MacOSX_AARCH64 LibreOffice_project/bce0998afefdbc355585ca324285661a2170ba77</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2026-09-30T11:21:23Z</dcterms:created>
  <dc:creator>openpyxl</dc:creator>
  <dc:description/>
  <dc:language>en-US</dc:language>
  <cp:lastModifiedBy>SOLIU ALLEY</cp:lastModifiedBy>
  <dcterms:modified xsi:type="dcterms:W3CDTF">2026-10-01T10:43:45Z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