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pers to download" sheetId="1" state="visible" r:id="rId3"/>
  </sheets>
  <definedNames>
    <definedName function="false" hidden="true" localSheetId="0" name="_xlnm._FilterDatabase" vbProcedure="false">'Papers to download'!$A$4:$O$13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<sst xmlns="http://schemas.openxmlformats.org/spreadsheetml/2006/main" count="91" uniqueCount="65">
  <si>
    <t xml:space="preserve">Component 6. ML - Scale Thickness (Sensor-Based) — papers to download</t>
  </si>
  <si>
    <t xml:space="preserve">Total papers: 9</t>
  </si>
  <si>
    <t xml:space="preserve">Downloaded:</t>
  </si>
  <si>
    <t xml:space="preserve">Save each PDF into the PDFs folder next to this file, using the name in the "Save PDF as" column. Blue cells are yours to fill in.</t>
  </si>
  <si>
    <t xml:space="preserve">#</t>
  </si>
  <si>
    <t xml:space="preserve">Title</t>
  </si>
  <si>
    <t xml:space="preserve">Authors</t>
  </si>
  <si>
    <t xml:space="preserve">Year</t>
  </si>
  <si>
    <t xml:space="preserve">Venue</t>
  </si>
  <si>
    <t xml:space="preserve">DOI</t>
  </si>
  <si>
    <t xml:space="preserve">DOI link</t>
  </si>
  <si>
    <t xml:space="preserve">Free PDF (open access)</t>
  </si>
  <si>
    <t xml:space="preserve">How to get it</t>
  </si>
  <si>
    <t xml:space="preserve">Tag</t>
  </si>
  <si>
    <t xml:space="preserve">Citations</t>
  </si>
  <si>
    <t xml:space="preserve">Cit. velocity</t>
  </si>
  <si>
    <t xml:space="preserve">Save PDF as</t>
  </si>
  <si>
    <t xml:space="preserve">Downloaded? (Y/N)</t>
  </si>
  <si>
    <t xml:space="preserve">Notes</t>
  </si>
  <si>
    <t xml:space="preserve">Calculation of volume fractions regardless scale deposition in the oil industry pipelines using feed-forward multilayer perceptron artificial neural network and MCNP6 code</t>
  </si>
  <si>
    <t xml:space="preserve">Salgado, CM; Dam, RSF; Puertas, EJA; Salgado, WL</t>
  </si>
  <si>
    <t xml:space="preserve">APPLIED RADIATION AND ISOTOPES</t>
  </si>
  <si>
    <t xml:space="preserve">10.1016/j.apradiso.2022.110215</t>
  </si>
  <si>
    <t xml:space="preserve">Open DOI</t>
  </si>
  <si>
    <t xml:space="preserve">Use DOI link, then KFUPM / SDL login</t>
  </si>
  <si>
    <t xml:space="preserve">R</t>
  </si>
  <si>
    <t xml:space="preserve">6-01_2022_Calculation_of_volume_fractions_regardless.pdf</t>
  </si>
  <si>
    <t xml:space="preserve">Inorganic scale thickness prediction in oil pipelines by gamma-ray attenuation and artificial neural network</t>
  </si>
  <si>
    <t xml:space="preserve">Teixeira, TP; Salgado, CM; Dam, RSD; Salgado, WL</t>
  </si>
  <si>
    <t xml:space="preserve">10.1016/j.apradiso.2018.08.008</t>
  </si>
  <si>
    <t xml:space="preserve">6-02_2018_Inorganic_scale_thickness_prediction_in.pdf</t>
  </si>
  <si>
    <t xml:space="preserve">Application of deep neural network and gamma-ray scattering in eccentric scale calculation regardless of the fluids volume fraction inside a pipeline</t>
  </si>
  <si>
    <t xml:space="preserve">Dam, RSD; Salgado, WL; Schirru, R; Salgado, CM</t>
  </si>
  <si>
    <t xml:space="preserve">10.1016/j.apradiso.2022.110353</t>
  </si>
  <si>
    <t xml:space="preserve">6-03_2022_Application_of_deep_neural_network.pdf</t>
  </si>
  <si>
    <t xml:space="preserve">Case study: Barium sulfate scale removal by dynamic underbalance</t>
  </si>
  <si>
    <t xml:space="preserve">Mahmud W.M.; Ermila M.</t>
  </si>
  <si>
    <t xml:space="preserve">Proceedings - SPE International Symposium on Formation Damage Control</t>
  </si>
  <si>
    <t xml:space="preserve">10.2118/199232-ms</t>
  </si>
  <si>
    <t xml:space="preserve">6-04_2020_Case_study_Barium_sulfate_scale.pdf</t>
  </si>
  <si>
    <t xml:space="preserve">Feasibility assessment of calcium carbonate scale thickness and volume fraction estimation in three-phase flow using neutron activation analysis and deep neural networks</t>
  </si>
  <si>
    <t xml:space="preserve">Dam, RSD; Salgado, WL; Salgado, CM</t>
  </si>
  <si>
    <t xml:space="preserve">10.1016/j.apradiso.2026.112821</t>
  </si>
  <si>
    <t xml:space="preserve">6-05_2026_Feasibility_assessment_of_calcium_carbonate.pdf</t>
  </si>
  <si>
    <t xml:space="preserve">Method of Ultrasonic Inspection for Scale Thickness in Titanium Alloy Seawater Pipelines</t>
  </si>
  <si>
    <t xml:space="preserve">Y. Huang; Z. Lin; E. Yan; Q. Pan; L. Xu; R. Liao; J. Sun</t>
  </si>
  <si>
    <t xml:space="preserve">2026 IEEE International Conference on Mechatronics and Automation (ICMA)</t>
  </si>
  <si>
    <t xml:space="preserve">10.1109/ICMA69663.2026.11647573</t>
  </si>
  <si>
    <t xml:space="preserve">6-06_2026_Method_of_Ultrasonic_Inspection_for.pdf</t>
  </si>
  <si>
    <t xml:space="preserve">Electro-Hydraulic Pulsing Used to Clear Barium Sulfate Scale and Improve Production on a Multi-Well Campaign</t>
  </si>
  <si>
    <t xml:space="preserve">Cubas D.; Kamaraj K.; Perri M.; McKenzie C.; Fisher J.</t>
  </si>
  <si>
    <t xml:space="preserve">Society of Petroleum Engineers - SPE/ICoTA Well Intervention Conference and Exhibition, CTWI 2026</t>
  </si>
  <si>
    <t xml:space="preserve">10.2118/231343-MS</t>
  </si>
  <si>
    <t xml:space="preserve">6-07_2026_ElectroHydraulic_Pulsing_Used_to_Clear.pdf</t>
  </si>
  <si>
    <t xml:space="preserve">Effect of Inorganic Scales on Water Injection Performance: Quantitative Analysis, Mitigation, and Prevention Measures</t>
  </si>
  <si>
    <t xml:space="preserve">Durmagambetov B.; Abdrazakov D.</t>
  </si>
  <si>
    <t xml:space="preserve">Society of Petroleum Engineers - ADIPEC 2025</t>
  </si>
  <si>
    <t xml:space="preserve">10.2118/230006-MS</t>
  </si>
  <si>
    <t xml:space="preserve">6-08_2025_Effect_of_Inorganic_Scales_on.pdf</t>
  </si>
  <si>
    <t xml:space="preserve">Non-Contact Measurement of Non-Metallic Scale Thickness on the Back Side of Ferromagnetic Materials Using Electromagnetic Force–Induced Vibration</t>
  </si>
  <si>
    <t xml:space="preserve">M. Tohara; K. Okuma; Y. Gotoh</t>
  </si>
  <si>
    <t xml:space="preserve">IEEE Transactions on Magnetics</t>
  </si>
  <si>
    <t xml:space="preserve">10.1109/TMAG.2026.3695830</t>
  </si>
  <si>
    <t xml:space="preserve">M</t>
  </si>
  <si>
    <t xml:space="preserve">6-09_2026_NonContact_Measurement_of_NonMetallic_Scale.pdf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</si>
</sst>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573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573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oi.org/10.1016/j.apradiso.2022.110215" TargetMode="External"/><Relationship Id="rId2" Type="http://schemas.openxmlformats.org/officeDocument/2006/relationships/hyperlink" Target="https://doi.org/10.1016/j.apradiso.2018.08.008" TargetMode="External"/><Relationship Id="rId3" Type="http://schemas.openxmlformats.org/officeDocument/2006/relationships/hyperlink" Target="https://doi.org/10.1016/j.apradiso.2022.110353" TargetMode="External"/><Relationship Id="rId4" Type="http://schemas.openxmlformats.org/officeDocument/2006/relationships/hyperlink" Target="https://doi.org/10.2118/199232-ms" TargetMode="External"/><Relationship Id="rId5" Type="http://schemas.openxmlformats.org/officeDocument/2006/relationships/hyperlink" Target="https://doi.org/10.1016/j.apradiso.2026.112821" TargetMode="External"/><Relationship Id="rId6" Type="http://schemas.openxmlformats.org/officeDocument/2006/relationships/hyperlink" Target="https://doi.org/10.1109/ICMA69663.2026.11647573" TargetMode="External"/><Relationship Id="rId7" Type="http://schemas.openxmlformats.org/officeDocument/2006/relationships/hyperlink" Target="https://doi.org/10.2118/231343-MS" TargetMode="External"/><Relationship Id="rId8" Type="http://schemas.openxmlformats.org/officeDocument/2006/relationships/hyperlink" Target="https://doi.org/10.2118/230006-MS" TargetMode="External"/><Relationship Id="rId9" Type="http://schemas.openxmlformats.org/officeDocument/2006/relationships/hyperlink" Target="https://doi.org/10.1109/TMAG.2026.3695830" TargetMode="External"/><Relationship Id="rId10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7"/>
    <col collapsed="false" customWidth="true" hidden="false" outlineLevel="0" max="5" min="5" style="0" width="32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34"/>
    <col collapsed="false" customWidth="true" hidden="false" outlineLevel="0" max="10" min="10" style="0" width="6"/>
    <col collapsed="false" customWidth="true" hidden="false" outlineLevel="0" max="12" min="11" style="0" width="10"/>
    <col collapsed="false" customWidth="true" hidden="false" outlineLevel="0" max="13" min="13" style="0" width="42"/>
    <col collapsed="false" customWidth="true" hidden="false" outlineLevel="0" max="14" min="14" style="0" width="14"/>
    <col collapsed="false" customWidth="true" hidden="false" outlineLevel="0" max="15" min="15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D2" s="2" t="s">
        <v>2</v>
      </c>
      <c r="F2" s="3" t="str">
        <f aca="false">COUNTIF(N5:N13,"Y")&amp;" of "&amp;COUNTA(B5:B13)</f>
        <v>0 of 9</v>
      </c>
    </row>
    <row r="3" customFormat="false" ht="15" hidden="false" customHeight="false" outlineLevel="0" collapsed="false">
      <c r="A3" s="4" t="s">
        <v>3</v>
      </c>
    </row>
    <row r="4" customFormat="false" ht="30" hidden="false" customHeight="true" outlineLevel="0" collapsed="false">
      <c r="A4" s="5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5" t="s">
        <v>17</v>
      </c>
      <c r="O4" s="5" t="s">
        <v>18</v>
      </c>
    </row>
    <row r="5" customFormat="false" ht="32.8" hidden="false" customHeight="false" outlineLevel="0" collapsed="false">
      <c r="A5" s="6" t="n">
        <v>1</v>
      </c>
      <c r="B5" s="6" t="s">
        <v>19</v>
      </c>
      <c r="C5" s="6" t="s">
        <v>20</v>
      </c>
      <c r="D5" s="6" t="n">
        <v>2022</v>
      </c>
      <c r="E5" s="6" t="s">
        <v>21</v>
      </c>
      <c r="F5" s="6" t="s">
        <v>22</v>
      </c>
      <c r="G5" s="7" t="s">
        <v>23</v>
      </c>
      <c r="H5" s="6"/>
      <c r="I5" s="6" t="s">
        <v>24</v>
      </c>
      <c r="J5" s="6" t="s">
        <v>25</v>
      </c>
      <c r="K5" s="6" t="n">
        <v>19</v>
      </c>
      <c r="L5" s="6" t="n">
        <v>3.8</v>
      </c>
      <c r="M5" s="6" t="s">
        <v>26</v>
      </c>
      <c r="N5" s="8"/>
      <c r="O5" s="8"/>
    </row>
    <row r="6" customFormat="false" ht="22.35" hidden="false" customHeight="false" outlineLevel="0" collapsed="false">
      <c r="A6" s="6" t="n">
        <v>2</v>
      </c>
      <c r="B6" s="6" t="s">
        <v>27</v>
      </c>
      <c r="C6" s="6" t="s">
        <v>28</v>
      </c>
      <c r="D6" s="6" t="n">
        <v>2018</v>
      </c>
      <c r="E6" s="6" t="s">
        <v>21</v>
      </c>
      <c r="F6" s="6" t="s">
        <v>29</v>
      </c>
      <c r="G6" s="7" t="s">
        <v>23</v>
      </c>
      <c r="H6" s="6"/>
      <c r="I6" s="6" t="s">
        <v>24</v>
      </c>
      <c r="J6" s="6" t="s">
        <v>25</v>
      </c>
      <c r="K6" s="6" t="n">
        <v>15</v>
      </c>
      <c r="L6" s="6" t="n">
        <v>1.67</v>
      </c>
      <c r="M6" s="6" t="s">
        <v>30</v>
      </c>
      <c r="N6" s="8"/>
      <c r="O6" s="8"/>
    </row>
    <row r="7" customFormat="false" ht="22.35" hidden="false" customHeight="false" outlineLevel="0" collapsed="false">
      <c r="A7" s="6" t="n">
        <v>3</v>
      </c>
      <c r="B7" s="6" t="s">
        <v>31</v>
      </c>
      <c r="C7" s="6" t="s">
        <v>32</v>
      </c>
      <c r="D7" s="6" t="n">
        <v>2022</v>
      </c>
      <c r="E7" s="6" t="s">
        <v>21</v>
      </c>
      <c r="F7" s="6" t="s">
        <v>33</v>
      </c>
      <c r="G7" s="7" t="s">
        <v>23</v>
      </c>
      <c r="H7" s="6"/>
      <c r="I7" s="6" t="s">
        <v>24</v>
      </c>
      <c r="J7" s="6" t="s">
        <v>25</v>
      </c>
      <c r="K7" s="6" t="n">
        <v>6</v>
      </c>
      <c r="L7" s="6" t="n">
        <v>1.2</v>
      </c>
      <c r="M7" s="6" t="s">
        <v>34</v>
      </c>
      <c r="N7" s="8"/>
      <c r="O7" s="8"/>
    </row>
    <row r="8" customFormat="false" ht="32.8" hidden="false" customHeight="false" outlineLevel="0" collapsed="false">
      <c r="A8" s="6" t="n">
        <v>4</v>
      </c>
      <c r="B8" s="6" t="s">
        <v>35</v>
      </c>
      <c r="C8" s="6" t="s">
        <v>36</v>
      </c>
      <c r="D8" s="6" t="n">
        <v>2020</v>
      </c>
      <c r="E8" s="6" t="s">
        <v>37</v>
      </c>
      <c r="F8" s="6" t="s">
        <v>38</v>
      </c>
      <c r="G8" s="7" t="s">
        <v>23</v>
      </c>
      <c r="H8" s="6"/>
      <c r="I8" s="6" t="s">
        <v>24</v>
      </c>
      <c r="J8" s="6" t="s">
        <v>25</v>
      </c>
      <c r="K8" s="6" t="n">
        <v>2</v>
      </c>
      <c r="L8" s="6" t="n">
        <v>0.29</v>
      </c>
      <c r="M8" s="6" t="s">
        <v>39</v>
      </c>
      <c r="N8" s="8"/>
      <c r="O8" s="8"/>
    </row>
    <row r="9" customFormat="false" ht="32.8" hidden="false" customHeight="false" outlineLevel="0" collapsed="false">
      <c r="A9" s="6" t="n">
        <v>5</v>
      </c>
      <c r="B9" s="6" t="s">
        <v>40</v>
      </c>
      <c r="C9" s="6" t="s">
        <v>41</v>
      </c>
      <c r="D9" s="6" t="n">
        <v>2026</v>
      </c>
      <c r="E9" s="6" t="s">
        <v>21</v>
      </c>
      <c r="F9" s="6" t="s">
        <v>42</v>
      </c>
      <c r="G9" s="7" t="s">
        <v>23</v>
      </c>
      <c r="H9" s="6"/>
      <c r="I9" s="6" t="s">
        <v>24</v>
      </c>
      <c r="J9" s="6" t="s">
        <v>25</v>
      </c>
      <c r="K9" s="6" t="n">
        <v>0</v>
      </c>
      <c r="L9" s="6" t="n">
        <v>0</v>
      </c>
      <c r="M9" s="6" t="s">
        <v>43</v>
      </c>
      <c r="N9" s="8"/>
      <c r="O9" s="8"/>
    </row>
    <row r="10" customFormat="false" ht="22.35" hidden="false" customHeight="false" outlineLevel="0" collapsed="false">
      <c r="A10" s="6" t="n">
        <v>6</v>
      </c>
      <c r="B10" s="6" t="s">
        <v>44</v>
      </c>
      <c r="C10" s="6" t="s">
        <v>45</v>
      </c>
      <c r="D10" s="6" t="n">
        <v>2026</v>
      </c>
      <c r="E10" s="6" t="s">
        <v>46</v>
      </c>
      <c r="F10" s="6" t="s">
        <v>47</v>
      </c>
      <c r="G10" s="7" t="s">
        <v>23</v>
      </c>
      <c r="H10" s="6"/>
      <c r="I10" s="6" t="s">
        <v>24</v>
      </c>
      <c r="J10" s="6" t="s">
        <v>25</v>
      </c>
      <c r="K10" s="6" t="n">
        <v>0</v>
      </c>
      <c r="L10" s="6" t="n">
        <v>0</v>
      </c>
      <c r="M10" s="6" t="s">
        <v>48</v>
      </c>
      <c r="N10" s="8"/>
      <c r="O10" s="8"/>
    </row>
    <row r="11" customFormat="false" ht="32.8" hidden="false" customHeight="false" outlineLevel="0" collapsed="false">
      <c r="A11" s="6" t="n">
        <v>7</v>
      </c>
      <c r="B11" s="6" t="s">
        <v>49</v>
      </c>
      <c r="C11" s="6" t="s">
        <v>50</v>
      </c>
      <c r="D11" s="6" t="n">
        <v>2026</v>
      </c>
      <c r="E11" s="6" t="s">
        <v>51</v>
      </c>
      <c r="F11" s="6" t="s">
        <v>52</v>
      </c>
      <c r="G11" s="7" t="s">
        <v>23</v>
      </c>
      <c r="H11" s="6"/>
      <c r="I11" s="6" t="s">
        <v>24</v>
      </c>
      <c r="J11" s="6" t="s">
        <v>25</v>
      </c>
      <c r="K11" s="6" t="n">
        <v>0</v>
      </c>
      <c r="L11" s="6" t="n">
        <v>0</v>
      </c>
      <c r="M11" s="6" t="s">
        <v>53</v>
      </c>
      <c r="N11" s="8"/>
      <c r="O11" s="8"/>
    </row>
    <row r="12" customFormat="false" ht="22.35" hidden="false" customHeight="false" outlineLevel="0" collapsed="false">
      <c r="A12" s="6" t="n">
        <v>8</v>
      </c>
      <c r="B12" s="6" t="s">
        <v>54</v>
      </c>
      <c r="C12" s="6" t="s">
        <v>55</v>
      </c>
      <c r="D12" s="6" t="n">
        <v>2025</v>
      </c>
      <c r="E12" s="6" t="s">
        <v>56</v>
      </c>
      <c r="F12" s="6" t="s">
        <v>57</v>
      </c>
      <c r="G12" s="7" t="s">
        <v>23</v>
      </c>
      <c r="H12" s="6"/>
      <c r="I12" s="6" t="s">
        <v>24</v>
      </c>
      <c r="J12" s="6" t="s">
        <v>25</v>
      </c>
      <c r="K12" s="6" t="n">
        <v>0</v>
      </c>
      <c r="L12" s="6" t="n">
        <v>0</v>
      </c>
      <c r="M12" s="6" t="s">
        <v>58</v>
      </c>
      <c r="N12" s="8"/>
      <c r="O12" s="8"/>
    </row>
    <row r="13" customFormat="false" ht="32.8" hidden="false" customHeight="false" outlineLevel="0" collapsed="false">
      <c r="A13" s="6" t="n">
        <v>9</v>
      </c>
      <c r="B13" s="6" t="s">
        <v>59</v>
      </c>
      <c r="C13" s="6" t="s">
        <v>60</v>
      </c>
      <c r="D13" s="6" t="n">
        <v>2026</v>
      </c>
      <c r="E13" s="6" t="s">
        <v>61</v>
      </c>
      <c r="F13" s="6" t="s">
        <v>62</v>
      </c>
      <c r="G13" s="7" t="s">
        <v>23</v>
      </c>
      <c r="H13" s="6"/>
      <c r="I13" s="6" t="s">
        <v>24</v>
      </c>
      <c r="J13" s="6" t="s">
        <v>63</v>
      </c>
      <c r="K13" s="6" t="n">
        <v>0</v>
      </c>
      <c r="L13" s="6" t="n">
        <v>0</v>
      </c>
      <c r="M13" s="6" t="s">
        <v>64</v>
      </c>
      <c r="N13" s="8"/>
      <c r="O13" s="8"/>
    </row>
  </sheetData>
  <autoFilter ref="A4:O13"/>
  <dataValidations count="1">
    <dataValidation allowBlank="true" errorStyle="stop" operator="between" showDropDown="false" showErrorMessage="false" showInputMessage="false" sqref="N5:N13" type="list">
      <formula1>"Y,N"</formula1>
      <formula2>0</formula2>
    </dataValidation>
  </dataValidations>
  <hyperlinks>
    <hyperlink ref="G5" r:id="rId1" display="Open DOI"/>
    <hyperlink ref="G6" r:id="rId2" display="Open DOI"/>
    <hyperlink ref="G7" r:id="rId3" display="Open DOI"/>
    <hyperlink ref="G8" r:id="rId4" display="Open DOI"/>
    <hyperlink ref="G9" r:id="rId5" display="Open DOI"/>
    <hyperlink ref="G10" r:id="rId6" display="Open DOI"/>
    <hyperlink ref="G11" r:id="rId7" display="Open DOI"/>
    <hyperlink ref="G12" r:id="rId8" display="Open DOI"/>
    <hyperlink ref="G13" r:id="rId9" display="Open DOI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2026-10-02T14:10:21Z</dcterms:created>
  <dc:creator>openpyxl</dc:creator>
  <dc:description/>
  <dc:language>en-US</dc:language>
  <cp:lastModifiedBy/>
  <dcterms:modified xsi:type="dcterms:W3CDTF">2026-10-02T14:10:21Z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