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to download" sheetId="1" state="visible" r:id="rId3"/>
  </sheets>
  <definedNames>
    <definedName function="false" hidden="true" localSheetId="0" name="_xlnm._FilterDatabase" vbProcedure="false">'Papers to download'!$A$4:$O$12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<sst xmlns="http://schemas.openxmlformats.org/spreadsheetml/2006/main" count="85" uniqueCount="65">
  <si>
    <t xml:space="preserve">Component 8. Pipe Monitoring (Structural/Deposit Sensing) — papers to download</t>
  </si>
  <si>
    <t xml:space="preserve">Total papers: 8</t>
  </si>
  <si>
    <t xml:space="preserve">Downloaded:</t>
  </si>
  <si>
    <t xml:space="preserve">Save each PDF into the PDFs folder next to this file, using the name in the "Save PDF as" column. Blue cells are yours to fill in.</t>
  </si>
  <si>
    <t xml:space="preserve">#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</si>
  <si>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</si>
  <si>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</si>
  <si>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</si>
  <si>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</si>
  <si>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</si>
  <si>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DOI link</t>
  </si>
  <si>
    <t xml:space="preserve">Free PDF (open access)</t>
  </si>
  <si>
    <t xml:space="preserve">How to get it</t>
  </si>
  <si>
    <t xml:space="preserve">Tag</t>
  </si>
  <si>
    <t xml:space="preserve">Citations</t>
  </si>
  <si>
    <t xml:space="preserve">Cit. velocity</t>
  </si>
  <si>
    <t xml:space="preserve">Save PDF as</t>
  </si>
  <si>
    <t xml:space="preserve">Downloaded? (Y/N)</t>
  </si>
  <si>
    <t xml:space="preserve">Notes</t>
  </si>
  <si>
    <t xml:space="preserve">Study on removing calcium carbonate plug from near wellbore by high-power ultrasonic treatment</t>
  </si>
  <si>
    <t xml:space="preserve">Zhang X.; Zang C.; Ma H.; Wang Z.</t>
  </si>
  <si>
    <t xml:space="preserve">Ultrasonics Sonochemistry</t>
  </si>
  <si>
    <t xml:space="preserve">10.1016/j.ultsonch.2019.03.006</t>
  </si>
  <si>
    <t xml:space="preserve">Open DOI</t>
  </si>
  <si>
    <t xml:space="preserve">Use DOI link, then KFUPM / SDL login</t>
  </si>
  <si>
    <t xml:space="preserve">R</t>
  </si>
  <si>
    <t xml:space="preserve">8-01_2020_Study_on_removing_calcium_carbonate.pdf</t>
  </si>
  <si>
    <t xml:space="preserve">Ultrasound based technology for removal of scale from downhole production tubing, an experimental verification</t>
  </si>
  <si>
    <t xml:space="preserve">Wood R.J.; Hamidi H.; Far A.J.</t>
  </si>
  <si>
    <t xml:space="preserve">Geoenergy Science and Engineering</t>
  </si>
  <si>
    <t xml:space="preserve">10.1016/j.geoen.2024.212783</t>
  </si>
  <si>
    <t xml:space="preserve">Open PDF</t>
  </si>
  <si>
    <t xml:space="preserve">Open access — click the PDF link</t>
  </si>
  <si>
    <t xml:space="preserve">8-02_2024_Ultrasound_based_technology_for_removal.pdf</t>
  </si>
  <si>
    <t xml:space="preserve">Fiber Optic Sensor with an Optically Transparent Electrode for Monitoring CaCO3 Scale Formation in Geothermal Water</t>
  </si>
  <si>
    <t xml:space="preserve">T. Okazaki; T. Yamamoto; A. Taguchi; A. Ueda; H. Kuramitz</t>
  </si>
  <si>
    <t xml:space="preserve">IEEE Sensors Letters</t>
  </si>
  <si>
    <t xml:space="preserve">10.1109/LSENS.2017.2739806</t>
  </si>
  <si>
    <t xml:space="preserve">8-03_2017_Fiber_Optic_Sensor_with_an.pdf</t>
  </si>
  <si>
    <t xml:space="preserve">Real-Time Monitoring of CaCO3 Precipitation Using Fiber Optics Scale Sensor Under High Temperature and Pressure Conditions</t>
  </si>
  <si>
    <t xml:space="preserve">S. Satake; A. Hosoki; T. Okazaki; A. Ueda; H. Kuramitz; A. Terai</t>
  </si>
  <si>
    <t xml:space="preserve">2024 IEEE SENSORS</t>
  </si>
  <si>
    <t xml:space="preserve">10.1109/SENSORS60989.2024.10784725</t>
  </si>
  <si>
    <t xml:space="preserve">8-04_2024_RealTime_Monitoring_of_CaCO3_Precipitation.pdf</t>
  </si>
  <si>
    <t xml:space="preserve">Novel assessment of in-operations mapped stainless steel elbow pipe internal wall for detection of corrosion and scale deposition</t>
  </si>
  <si>
    <t xml:space="preserve">Hamzat A.K.; Memon A.M.; Alhems L.M.</t>
  </si>
  <si>
    <t xml:space="preserve">International Journal of Corrosion and Scale Inhibition</t>
  </si>
  <si>
    <t xml:space="preserve">10.17675/2305-6894-2022-11-4-5</t>
  </si>
  <si>
    <t xml:space="preserve">8-05_2022_Novel_assessment_of_inoperations_mapped.pdf</t>
  </si>
  <si>
    <t xml:space="preserve">The Synergistic Effects of Ultrasonic Acoustic Cavitation with ChemicalDissolvers on Calcium Sulfate Scale Dissolution</t>
  </si>
  <si>
    <t xml:space="preserve">Canciani C.; Alaseri G.; Alguydi A.; Alissa F.</t>
  </si>
  <si>
    <t xml:space="preserve">Proceedings of the Annual Offshore Technology Conference</t>
  </si>
  <si>
    <t xml:space="preserve">10.4043/35554-MS</t>
  </si>
  <si>
    <t xml:space="preserve">8-06_2025_The_Synergistic_Effects_of_Ultrasonic.pdf</t>
  </si>
  <si>
    <t xml:space="preserve">Hetero-Core Fiber Optic SPR Sensor for Silica Scale Formation in Geothermal Water</t>
  </si>
  <si>
    <t xml:space="preserve">A. Suka; A. Hosoki; S. Satake; F. Abrishamian; H. Yang; A. Ueda; H. Kuramitz; A. Terai</t>
  </si>
  <si>
    <t xml:space="preserve">2025 IEEE SENSORS</t>
  </si>
  <si>
    <t xml:space="preserve">10.1109/SENSORS59705.2025.11330440</t>
  </si>
  <si>
    <t xml:space="preserve">8-07_2025_HeteroCore_Fiber_Optic_SPR_Sensor.pdf</t>
  </si>
  <si>
    <t xml:space="preserve">Design and Implementation of a Fan Beam Tomography System for The Performance Evaluation of Geothermal Pipe</t>
  </si>
  <si>
    <t xml:space="preserve">Wibisono; F. R. Ningsih; P. Sidauruk; S. K. Wijaya</t>
  </si>
  <si>
    <t xml:space="preserve">2020 International Conference on Sustainable Energy Engineering and Application (ICSEEA)</t>
  </si>
  <si>
    <t xml:space="preserve">10.1109/ICSEEA50711.2020.9306184</t>
  </si>
  <si>
    <t xml:space="preserve">M</t>
  </si>
  <si>
    <t xml:space="preserve">8-08_2020_Design_and_Implementation_of_a.pdf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</si>
</sst>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573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573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ultsonch.2019.03.006" TargetMode="External"/><Relationship Id="rId2" Type="http://schemas.openxmlformats.org/officeDocument/2006/relationships/hyperlink" Target="https://doi.org/10.1016/j.geoen.2024.212783" TargetMode="External"/><Relationship Id="rId3" Type="http://schemas.openxmlformats.org/officeDocument/2006/relationships/hyperlink" Target="https://doi.org/10.1016/j.geoen.2024.212783" TargetMode="External"/><Relationship Id="rId4" Type="http://schemas.openxmlformats.org/officeDocument/2006/relationships/hyperlink" Target="https://doi.org/10.1109/LSENS.2017.2739806" TargetMode="External"/><Relationship Id="rId5" Type="http://schemas.openxmlformats.org/officeDocument/2006/relationships/hyperlink" Target="https://doi.org/10.1109/SENSORS60989.2024.10784725" TargetMode="External"/><Relationship Id="rId6" Type="http://schemas.openxmlformats.org/officeDocument/2006/relationships/hyperlink" Target="https://doi.org/10.17675/2305-6894-2022-11-4-5" TargetMode="External"/><Relationship Id="rId7" Type="http://schemas.openxmlformats.org/officeDocument/2006/relationships/hyperlink" Target="https://doi.org/10.17675/2305-6894-2022-11-4-5" TargetMode="External"/><Relationship Id="rId8" Type="http://schemas.openxmlformats.org/officeDocument/2006/relationships/hyperlink" Target="https://doi.org/10.4043/35554-MS" TargetMode="External"/><Relationship Id="rId9" Type="http://schemas.openxmlformats.org/officeDocument/2006/relationships/hyperlink" Target="https://doi.org/10.1109/SENSORS59705.2025.11330440" TargetMode="External"/><Relationship Id="rId10" Type="http://schemas.openxmlformats.org/officeDocument/2006/relationships/hyperlink" Target="https://doi.org/10.1109/ICSEEA50711.2020.9306184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2" t="s">
        <v>2</v>
      </c>
      <c r="F2" s="3" t="str">
        <f aca="false">COUNTIF(N5:N12,"Y")&amp;" of "&amp;COUNTA(B5:B12)</f>
        <v>0 of 8</v>
      </c>
    </row>
    <row r="3" customFormat="false" ht="15" hidden="false" customHeight="false" outlineLevel="0" collapsed="false">
      <c r="A3" s="4" t="s">
        <v>3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</row>
    <row r="5" customFormat="false" ht="22.35" hidden="false" customHeight="false" outlineLevel="0" collapsed="false">
      <c r="A5" s="6" t="n">
        <v>1</v>
      </c>
      <c r="B5" s="6" t="s">
        <v>19</v>
      </c>
      <c r="C5" s="6" t="s">
        <v>20</v>
      </c>
      <c r="D5" s="6" t="n">
        <v>2020</v>
      </c>
      <c r="E5" s="6" t="s">
        <v>21</v>
      </c>
      <c r="F5" s="6" t="s">
        <v>22</v>
      </c>
      <c r="G5" s="7" t="s">
        <v>23</v>
      </c>
      <c r="H5" s="6"/>
      <c r="I5" s="6" t="s">
        <v>24</v>
      </c>
      <c r="J5" s="6" t="s">
        <v>25</v>
      </c>
      <c r="K5" s="6" t="n">
        <v>61</v>
      </c>
      <c r="L5" s="6" t="n">
        <v>8.71</v>
      </c>
      <c r="M5" s="6" t="s">
        <v>26</v>
      </c>
      <c r="N5" s="8"/>
      <c r="O5" s="8"/>
    </row>
    <row r="6" customFormat="false" ht="32.8" hidden="false" customHeight="false" outlineLevel="0" collapsed="false">
      <c r="A6" s="6" t="n">
        <v>2</v>
      </c>
      <c r="B6" s="6" t="s">
        <v>27</v>
      </c>
      <c r="C6" s="6" t="s">
        <v>28</v>
      </c>
      <c r="D6" s="6" t="n">
        <v>2024</v>
      </c>
      <c r="E6" s="6" t="s">
        <v>29</v>
      </c>
      <c r="F6" s="6" t="s">
        <v>30</v>
      </c>
      <c r="G6" s="7" t="s">
        <v>23</v>
      </c>
      <c r="H6" s="7" t="s">
        <v>31</v>
      </c>
      <c r="I6" s="6" t="s">
        <v>32</v>
      </c>
      <c r="J6" s="6" t="s">
        <v>25</v>
      </c>
      <c r="K6" s="6" t="n">
        <v>13</v>
      </c>
      <c r="L6" s="6" t="n">
        <v>4.33</v>
      </c>
      <c r="M6" s="6" t="s">
        <v>33</v>
      </c>
      <c r="N6" s="8"/>
      <c r="O6" s="8"/>
    </row>
    <row r="7" customFormat="false" ht="22.35" hidden="false" customHeight="false" outlineLevel="0" collapsed="false">
      <c r="A7" s="6" t="n">
        <v>3</v>
      </c>
      <c r="B7" s="6" t="s">
        <v>34</v>
      </c>
      <c r="C7" s="6" t="s">
        <v>35</v>
      </c>
      <c r="D7" s="6" t="n">
        <v>2017</v>
      </c>
      <c r="E7" s="6" t="s">
        <v>36</v>
      </c>
      <c r="F7" s="6" t="s">
        <v>37</v>
      </c>
      <c r="G7" s="7" t="s">
        <v>23</v>
      </c>
      <c r="H7" s="6"/>
      <c r="I7" s="6" t="s">
        <v>24</v>
      </c>
      <c r="J7" s="6" t="s">
        <v>25</v>
      </c>
      <c r="K7" s="6" t="n">
        <v>10</v>
      </c>
      <c r="L7" s="6" t="n">
        <v>1</v>
      </c>
      <c r="M7" s="6" t="s">
        <v>38</v>
      </c>
      <c r="N7" s="8"/>
      <c r="O7" s="8"/>
    </row>
    <row r="8" customFormat="false" ht="32.8" hidden="false" customHeight="false" outlineLevel="0" collapsed="false">
      <c r="A8" s="6" t="n">
        <v>4</v>
      </c>
      <c r="B8" s="6" t="s">
        <v>39</v>
      </c>
      <c r="C8" s="6" t="s">
        <v>40</v>
      </c>
      <c r="D8" s="6" t="n">
        <v>2024</v>
      </c>
      <c r="E8" s="6" t="s">
        <v>41</v>
      </c>
      <c r="F8" s="6" t="s">
        <v>42</v>
      </c>
      <c r="G8" s="7" t="s">
        <v>23</v>
      </c>
      <c r="H8" s="6"/>
      <c r="I8" s="6" t="s">
        <v>24</v>
      </c>
      <c r="J8" s="6" t="s">
        <v>25</v>
      </c>
      <c r="K8" s="6" t="n">
        <v>1</v>
      </c>
      <c r="L8" s="6" t="n">
        <v>0.33</v>
      </c>
      <c r="M8" s="6" t="s">
        <v>43</v>
      </c>
      <c r="N8" s="8"/>
      <c r="O8" s="8"/>
    </row>
    <row r="9" customFormat="false" ht="32.8" hidden="false" customHeight="false" outlineLevel="0" collapsed="false">
      <c r="A9" s="6" t="n">
        <v>5</v>
      </c>
      <c r="B9" s="6" t="s">
        <v>44</v>
      </c>
      <c r="C9" s="6" t="s">
        <v>45</v>
      </c>
      <c r="D9" s="6" t="n">
        <v>2022</v>
      </c>
      <c r="E9" s="6" t="s">
        <v>46</v>
      </c>
      <c r="F9" s="6" t="s">
        <v>47</v>
      </c>
      <c r="G9" s="7" t="s">
        <v>23</v>
      </c>
      <c r="H9" s="7" t="s">
        <v>31</v>
      </c>
      <c r="I9" s="6" t="s">
        <v>32</v>
      </c>
      <c r="J9" s="6" t="s">
        <v>25</v>
      </c>
      <c r="K9" s="6" t="n">
        <v>1</v>
      </c>
      <c r="L9" s="6" t="n">
        <v>0.2</v>
      </c>
      <c r="M9" s="6" t="s">
        <v>48</v>
      </c>
      <c r="N9" s="8"/>
      <c r="O9" s="8"/>
    </row>
    <row r="10" customFormat="false" ht="22.35" hidden="false" customHeight="false" outlineLevel="0" collapsed="false">
      <c r="A10" s="6" t="n">
        <v>6</v>
      </c>
      <c r="B10" s="6" t="s">
        <v>49</v>
      </c>
      <c r="C10" s="6" t="s">
        <v>50</v>
      </c>
      <c r="D10" s="6" t="n">
        <v>2025</v>
      </c>
      <c r="E10" s="6" t="s">
        <v>51</v>
      </c>
      <c r="F10" s="6" t="s">
        <v>52</v>
      </c>
      <c r="G10" s="7" t="s">
        <v>23</v>
      </c>
      <c r="H10" s="6"/>
      <c r="I10" s="6" t="s">
        <v>24</v>
      </c>
      <c r="J10" s="6" t="s">
        <v>25</v>
      </c>
      <c r="K10" s="6" t="n">
        <v>0</v>
      </c>
      <c r="L10" s="6" t="n">
        <v>0</v>
      </c>
      <c r="M10" s="6" t="s">
        <v>53</v>
      </c>
      <c r="N10" s="8"/>
      <c r="O10" s="8"/>
    </row>
    <row r="11" customFormat="false" ht="22.35" hidden="false" customHeight="false" outlineLevel="0" collapsed="false">
      <c r="A11" s="6" t="n">
        <v>7</v>
      </c>
      <c r="B11" s="6" t="s">
        <v>54</v>
      </c>
      <c r="C11" s="6" t="s">
        <v>55</v>
      </c>
      <c r="D11" s="6" t="n">
        <v>2025</v>
      </c>
      <c r="E11" s="6" t="s">
        <v>56</v>
      </c>
      <c r="F11" s="6" t="s">
        <v>57</v>
      </c>
      <c r="G11" s="7" t="s">
        <v>23</v>
      </c>
      <c r="H11" s="6"/>
      <c r="I11" s="6" t="s">
        <v>24</v>
      </c>
      <c r="J11" s="6" t="s">
        <v>25</v>
      </c>
      <c r="K11" s="6" t="n">
        <v>0</v>
      </c>
      <c r="L11" s="6" t="n">
        <v>0</v>
      </c>
      <c r="M11" s="6" t="s">
        <v>58</v>
      </c>
      <c r="N11" s="8"/>
      <c r="O11" s="8"/>
    </row>
    <row r="12" customFormat="false" ht="32.8" hidden="false" customHeight="false" outlineLevel="0" collapsed="false">
      <c r="A12" s="6" t="n">
        <v>8</v>
      </c>
      <c r="B12" s="6" t="s">
        <v>59</v>
      </c>
      <c r="C12" s="6" t="s">
        <v>60</v>
      </c>
      <c r="D12" s="6" t="n">
        <v>2020</v>
      </c>
      <c r="E12" s="6" t="s">
        <v>61</v>
      </c>
      <c r="F12" s="6" t="s">
        <v>62</v>
      </c>
      <c r="G12" s="7" t="s">
        <v>23</v>
      </c>
      <c r="H12" s="6"/>
      <c r="I12" s="6" t="s">
        <v>24</v>
      </c>
      <c r="J12" s="6" t="s">
        <v>63</v>
      </c>
      <c r="K12" s="6" t="n">
        <v>0</v>
      </c>
      <c r="L12" s="6" t="n">
        <v>0</v>
      </c>
      <c r="M12" s="6" t="s">
        <v>64</v>
      </c>
      <c r="N12" s="8"/>
      <c r="O12" s="8"/>
    </row>
  </sheetData>
  <autoFilter ref="A4:O12"/>
  <dataValidations count="1">
    <dataValidation allowBlank="true" errorStyle="stop" operator="between" showDropDown="false" showErrorMessage="false" showInputMessage="false" sqref="N5:N12" type="list">
      <formula1>"Y,N"</formula1>
      <formula2>0</formula2>
    </dataValidation>
  </dataValidations>
  <hyperlinks>
    <hyperlink ref="G5" r:id="rId1" display="Open DOI"/>
    <hyperlink ref="G6" r:id="rId2" display="Open DOI"/>
    <hyperlink ref="H6" r:id="rId3" display="Open PDF"/>
    <hyperlink ref="G7" r:id="rId4" display="Open DOI"/>
    <hyperlink ref="G8" r:id="rId5" display="Open DOI"/>
    <hyperlink ref="G9" r:id="rId6" display="Open DOI"/>
    <hyperlink ref="H9" r:id="rId7" display="Open PDF"/>
    <hyperlink ref="G10" r:id="rId8" display="Open DOI"/>
    <hyperlink ref="G11" r:id="rId9" display="Open DOI"/>
    <hyperlink ref="G12" r:id="rId10" display="Open DO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2026-10-02T14:10:21Z</dcterms:created>
  <dc:creator>openpyxl</dc:creator>
  <dc:description/>
  <dc:language>en-US</dc:language>
  <cp:lastModifiedBy/>
  <dcterms:modified xsi:type="dcterms:W3CDTF">2026-10-02T14:10:21Z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