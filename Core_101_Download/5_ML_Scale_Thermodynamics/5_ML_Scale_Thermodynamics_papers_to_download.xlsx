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to download" sheetId="1" state="visible" r:id="rId3"/>
  </sheets>
  <definedNames>
    <definedName function="false" hidden="true" localSheetId="0" name="_xlnm._FilterDatabase" vbProcedure="false">'Papers to download'!$A$4:$O$16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<sst xmlns="http://schemas.openxmlformats.org/spreadsheetml/2006/main" count="115" uniqueCount="83">
  <si>
    <t xml:space="preserve">Component 5. ML - Scale Thermodynamics — papers to download</t>
  </si>
  <si>
    <t xml:space="preserve">Total papers: 12</t>
  </si>
  <si>
    <t xml:space="preserve">Downloaded:</t>
  </si>
  <si>
    <t xml:space="preserve">Save each PDF into the PDFs folder next to this file, using the name in the "Save PDF as" column. Blue cells are yours to fill in.</t>
  </si>
  <si>
    <t xml:space="preserve">#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</si>
  <si>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</si>
  <si>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</si>
  <si>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</si>
  <si>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</si>
  <si>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</si>
  <si>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DOI link</t>
  </si>
  <si>
    <t xml:space="preserve">Free PDF (open access)</t>
  </si>
  <si>
    <t xml:space="preserve">How to get it</t>
  </si>
  <si>
    <t xml:space="preserve">Tag</t>
  </si>
  <si>
    <t xml:space="preserve">Citations</t>
  </si>
  <si>
    <t xml:space="preserve">Cit. velocity</t>
  </si>
  <si>
    <t xml:space="preserve">Save PDF as</t>
  </si>
  <si>
    <t xml:space="preserve">Downloaded? (Y/N)</t>
  </si>
  <si>
    <t xml:space="preserve">Notes</t>
  </si>
  <si>
    <t xml:space="preserve">Effect of salinity and ion type on formation damage due to inorganic scale deposition and introducing optimum salinity</t>
  </si>
  <si>
    <t xml:space="preserve">Ghasemian J.; Riahi S.; Ayatollahi S.; Mokhtari R.</t>
  </si>
  <si>
    <t xml:space="preserve">Journal of Petroleum Science and Engineering</t>
  </si>
  <si>
    <t xml:space="preserve">10.1016/j.petrol.2019.02.019</t>
  </si>
  <si>
    <t xml:space="preserve">Open DOI</t>
  </si>
  <si>
    <t xml:space="preserve">Use DOI link, then KFUPM / SDL login</t>
  </si>
  <si>
    <t xml:space="preserve">R</t>
  </si>
  <si>
    <t xml:space="preserve">5-01_2019_Effect_of_salinity_and_ion.pdf</t>
  </si>
  <si>
    <t xml:space="preserve">Iron sulfide scale management in High-H2S and -CO2 carbonate reservoirs</t>
  </si>
  <si>
    <t xml:space="preserve">Verri G.; Sorbie K.S.; Singleton M.A.; Hinrichsen C.; Wang Q.; Chang F.F.; Ramachandran S.</t>
  </si>
  <si>
    <t xml:space="preserve">SPE Production and Operations</t>
  </si>
  <si>
    <t xml:space="preserve">10.2118/179871-pa</t>
  </si>
  <si>
    <t xml:space="preserve">5-02_2017_Iron_sulfide_scale_management_in.pdf</t>
  </si>
  <si>
    <t xml:space="preserve">Coupling Well Log Data with Chemical Thermodynamic Modeling for Predicting Mineral Precipitation Along the Wellbore Depth Profile</t>
  </si>
  <si>
    <t xml:space="preserve">Tuhami M.; Al-Saleem H.; Alshammari S.; Rafie M.; Alsaud M.A.</t>
  </si>
  <si>
    <t xml:space="preserve">Society of Petroleum Engineers - SPE Advances in Integrated Reservoir Modelling and Field Development Conference and Exhibition, RCSC 2025</t>
  </si>
  <si>
    <t xml:space="preserve">10.2118/225407-MS</t>
  </si>
  <si>
    <t xml:space="preserve">5-03_2025_Coupling_Well_Log_Data_with.pdf</t>
  </si>
  <si>
    <t xml:space="preserve">Advanced Scale Removal in a Non-Injective Well Using Custom Jetting Tools and Chelating Chemistry</t>
  </si>
  <si>
    <t xml:space="preserve">Mohamed M.A.A.; Al Bloushi M.A.; Albloushi M.J.; Al Janahi M.I.; Alali M.H.; Mohamed M.E.; Alqaydi S.; Sidharth P.; Varshney M.; Grutters M.; Maheshwari Y.K.; Akhtar M.M.; Ahmad B.; Halverson S.; Ramy C.</t>
  </si>
  <si>
    <t xml:space="preserve">Society of Petroleum Engineers - ADIPEC 2025</t>
  </si>
  <si>
    <t xml:space="preserve">10.2118/230084-MS</t>
  </si>
  <si>
    <t xml:space="preserve">5-04_2025_Advanced_Scale_Removal_in_a.pdf</t>
  </si>
  <si>
    <t xml:space="preserve">Comprehensive thermodynamic modeling of saline water with electrolyte NRTL model: A study on aqueous Ba2+-Na+-Cl--Sa42- quaternary system</t>
  </si>
  <si>
    <t xml:space="preserve">Honarparvar, S; Saravi, SH; Reible, D; Chen, CC</t>
  </si>
  <si>
    <t xml:space="preserve">FLUID PHASE EQUILIBRIA</t>
  </si>
  <si>
    <t xml:space="preserve">10.1016/j.fluid.2017.05.016</t>
  </si>
  <si>
    <t xml:space="preserve">5-05_2017_Comprehensive_thermodynamic_modeling_of_saline.pdf</t>
  </si>
  <si>
    <t xml:space="preserve">Minimizing the Barite Scale in Carbonate Formations during the Filter Cake Removal Process</t>
  </si>
  <si>
    <t xml:space="preserve">Al Jaberi, J; Ahmed, A; Bageri, B; Elsayed, M; Mahmoud, M; Patil, S; Al-Garadi, K; Barri, A</t>
  </si>
  <si>
    <t xml:space="preserve">ACS OMEGA</t>
  </si>
  <si>
    <t xml:space="preserve">10.1021/acsomega.2c01339</t>
  </si>
  <si>
    <t xml:space="preserve">Open PDF</t>
  </si>
  <si>
    <t xml:space="preserve">Open access — click the PDF link</t>
  </si>
  <si>
    <t xml:space="preserve">5-06_2022_Minimizing_the_Barite_Scale_in.pdf</t>
  </si>
  <si>
    <t xml:space="preserve">Chelating Chemicals: A Solution to End the Battle with Calcium Sulfate Scale</t>
  </si>
  <si>
    <t xml:space="preserve">Alotaibi F.; Almubarak T.; Alhamad L.; Al Moajil A.</t>
  </si>
  <si>
    <t xml:space="preserve">SPE Middle East Oil and Gas Show and Conference, MEOS, Proceedings</t>
  </si>
  <si>
    <t xml:space="preserve">10.2118/213502-MS</t>
  </si>
  <si>
    <t xml:space="preserve">5-07_2023_Chelating_Chemicals_A_Solution_to.pdf</t>
  </si>
  <si>
    <t xml:space="preserve">Impact of High Calcium Concentrations on Barite Scale Prediction Under High Temperature and High Pressure Conditions</t>
  </si>
  <si>
    <t xml:space="preserve">Shen Y.-Y.; Deng G.; Wang X.; Ye Y.; Reiss A.; Yao X.; Pimentel D.; Leschied C.; Kan A.T.; Tomson M.B.</t>
  </si>
  <si>
    <t xml:space="preserve">Society of Petroleum Engineers - SPE Oilfield Scale Symposium, OSS 2024</t>
  </si>
  <si>
    <t xml:space="preserve">10.2118/218707-MS</t>
  </si>
  <si>
    <t xml:space="preserve">5-08_2024_Impact_of_High_Calcium_Concentrations.pdf</t>
  </si>
  <si>
    <t xml:space="preserve">Iron sulphide scale management in high H2S and CO2 carbonate reservoirs</t>
  </si>
  <si>
    <t xml:space="preserve">Society of Petroleum Engineers - SPE International Oilfield Scale Conference and Exhibition</t>
  </si>
  <si>
    <t xml:space="preserve">Search title</t>
  </si>
  <si>
    <t xml:space="preserve">No DOI — search the title (link in DOI link column)</t>
  </si>
  <si>
    <t xml:space="preserve">5-09_2016_Iron_sulphide_scale_management_in.pdf</t>
  </si>
  <si>
    <t xml:space="preserve">Numerical Simulation of Scale Formation for Injection-Production Units in Oil Reservoirs</t>
  </si>
  <si>
    <t xml:space="preserve">Li, NY; Kang, J; Zhang, HT; Tao, WD; Ren, Y</t>
  </si>
  <si>
    <t xml:space="preserve">ARABIAN JOURNAL FOR SCIENCE AND ENGINEERING</t>
  </si>
  <si>
    <t xml:space="preserve">10.1007/s13369-019-03975-8</t>
  </si>
  <si>
    <t xml:space="preserve">5-10_2019_Numerical_Simulation_of_Scale_Formation.pdf</t>
  </si>
  <si>
    <t xml:space="preserve">Mineral solubility measurement and prediction under high pressure, high temperature reservoir conditions</t>
  </si>
  <si>
    <t xml:space="preserve">Goodwin N.; May M.; Wilson S.; Graham G.</t>
  </si>
  <si>
    <t xml:space="preserve">Proceedings - SPE International Symposium on Formation Damage Control</t>
  </si>
  <si>
    <t xml:space="preserve">5-11_2020_Mineral_solubility_measurement_and_prediction.pdf</t>
  </si>
  <si>
    <t xml:space="preserve">Study on deposit formation model in sulfide-containing natural gas environment</t>
  </si>
  <si>
    <t xml:space="preserve">Yongliang L.; Zhidong O.; Hongda D.; Zewei Z.; Yunfan Z.; Jian L.</t>
  </si>
  <si>
    <t xml:space="preserve">Journal of Petroleum Exploration and Production Technology</t>
  </si>
  <si>
    <t xml:space="preserve">10.1007/s13202-022-01594-y</t>
  </si>
  <si>
    <t xml:space="preserve">5-12_2023_Study_on_deposit_formation_model.pdf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</si>
</sst>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573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573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petrol.2019.02.019" TargetMode="External"/><Relationship Id="rId2" Type="http://schemas.openxmlformats.org/officeDocument/2006/relationships/hyperlink" Target="https://doi.org/10.2118/179871-pa" TargetMode="External"/><Relationship Id="rId3" Type="http://schemas.openxmlformats.org/officeDocument/2006/relationships/hyperlink" Target="https://doi.org/10.2118/225407-MS" TargetMode="External"/><Relationship Id="rId4" Type="http://schemas.openxmlformats.org/officeDocument/2006/relationships/hyperlink" Target="https://doi.org/10.2118/230084-MS" TargetMode="External"/><Relationship Id="rId5" Type="http://schemas.openxmlformats.org/officeDocument/2006/relationships/hyperlink" Target="https://doi.org/10.1016/j.fluid.2017.05.016" TargetMode="External"/><Relationship Id="rId6" Type="http://schemas.openxmlformats.org/officeDocument/2006/relationships/hyperlink" Target="https://doi.org/10.1021/acsomega.2c01339" TargetMode="External"/><Relationship Id="rId7" Type="http://schemas.openxmlformats.org/officeDocument/2006/relationships/hyperlink" Target="https://doi.org/10.1021/acsomega.2c01339" TargetMode="External"/><Relationship Id="rId8" Type="http://schemas.openxmlformats.org/officeDocument/2006/relationships/hyperlink" Target="https://doi.org/10.2118/213502-MS" TargetMode="External"/><Relationship Id="rId9" Type="http://schemas.openxmlformats.org/officeDocument/2006/relationships/hyperlink" Target="https://doi.org/10.2118/218707-MS" TargetMode="External"/><Relationship Id="rId10" Type="http://schemas.openxmlformats.org/officeDocument/2006/relationships/hyperlink" Target="https://scholar.google.com/scholar?q=Iron%20sulphide%20scale%20management%20in%20high%20H2S%20and%20CO2%20carbonate%20reservoirs" TargetMode="External"/><Relationship Id="rId11" Type="http://schemas.openxmlformats.org/officeDocument/2006/relationships/hyperlink" Target="https://doi.org/10.1007/s13369-019-03975-8" TargetMode="External"/><Relationship Id="rId12" Type="http://schemas.openxmlformats.org/officeDocument/2006/relationships/hyperlink" Target="https://scholar.google.com/scholar?q=Mineral%20solubility%20measurement%20and%20prediction%20under%20high%20pressure%2C%20high%20temperature%20reservoir%20conditions" TargetMode="External"/><Relationship Id="rId13" Type="http://schemas.openxmlformats.org/officeDocument/2006/relationships/hyperlink" Target="https://doi.org/10.1007/s13202-022-01594-y" TargetMode="External"/><Relationship Id="rId14" Type="http://schemas.openxmlformats.org/officeDocument/2006/relationships/hyperlink" Target="https://link.springer.com/content/pdf/10.1007/s13202-022-01594-y.pdf" TargetMode="External"/><Relationship Id="rId1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2" t="s">
        <v>2</v>
      </c>
      <c r="F2" s="3" t="str">
        <f aca="false">COUNTIF(N5:N16,"Y")&amp;" of "&amp;COUNTA(B5:B16)</f>
        <v>0 of 12</v>
      </c>
    </row>
    <row r="3" customFormat="false" ht="15" hidden="false" customHeight="false" outlineLevel="0" collapsed="false">
      <c r="A3" s="4" t="s">
        <v>3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</row>
    <row r="5" customFormat="false" ht="22.35" hidden="false" customHeight="false" outlineLevel="0" collapsed="false">
      <c r="A5" s="6" t="n">
        <v>1</v>
      </c>
      <c r="B5" s="6" t="s">
        <v>19</v>
      </c>
      <c r="C5" s="6" t="s">
        <v>20</v>
      </c>
      <c r="D5" s="6" t="n">
        <v>2019</v>
      </c>
      <c r="E5" s="6" t="s">
        <v>21</v>
      </c>
      <c r="F5" s="6" t="s">
        <v>22</v>
      </c>
      <c r="G5" s="7" t="s">
        <v>23</v>
      </c>
      <c r="H5" s="6"/>
      <c r="I5" s="6" t="s">
        <v>24</v>
      </c>
      <c r="J5" s="6" t="s">
        <v>25</v>
      </c>
      <c r="K5" s="6" t="n">
        <v>60</v>
      </c>
      <c r="L5" s="6" t="n">
        <v>7.5</v>
      </c>
      <c r="M5" s="6" t="s">
        <v>26</v>
      </c>
      <c r="N5" s="8"/>
      <c r="O5" s="8"/>
    </row>
    <row r="6" customFormat="false" ht="22.35" hidden="false" customHeight="false" outlineLevel="0" collapsed="false">
      <c r="A6" s="6" t="n">
        <v>2</v>
      </c>
      <c r="B6" s="6" t="s">
        <v>27</v>
      </c>
      <c r="C6" s="6" t="s">
        <v>28</v>
      </c>
      <c r="D6" s="6" t="n">
        <v>2017</v>
      </c>
      <c r="E6" s="6" t="s">
        <v>29</v>
      </c>
      <c r="F6" s="6" t="s">
        <v>30</v>
      </c>
      <c r="G6" s="7" t="s">
        <v>23</v>
      </c>
      <c r="H6" s="6"/>
      <c r="I6" s="6" t="s">
        <v>24</v>
      </c>
      <c r="J6" s="6" t="s">
        <v>25</v>
      </c>
      <c r="K6" s="6" t="n">
        <v>21</v>
      </c>
      <c r="L6" s="6" t="n">
        <v>2.1</v>
      </c>
      <c r="M6" s="6" t="s">
        <v>31</v>
      </c>
      <c r="N6" s="8"/>
      <c r="O6" s="8"/>
    </row>
    <row r="7" customFormat="false" ht="43.25" hidden="false" customHeight="false" outlineLevel="0" collapsed="false">
      <c r="A7" s="6" t="n">
        <v>3</v>
      </c>
      <c r="B7" s="6" t="s">
        <v>32</v>
      </c>
      <c r="C7" s="6" t="s">
        <v>33</v>
      </c>
      <c r="D7" s="6" t="n">
        <v>2025</v>
      </c>
      <c r="E7" s="6" t="s">
        <v>34</v>
      </c>
      <c r="F7" s="6" t="s">
        <v>35</v>
      </c>
      <c r="G7" s="7" t="s">
        <v>23</v>
      </c>
      <c r="H7" s="6"/>
      <c r="I7" s="6" t="s">
        <v>24</v>
      </c>
      <c r="J7" s="6" t="s">
        <v>25</v>
      </c>
      <c r="K7" s="6" t="n">
        <v>4</v>
      </c>
      <c r="L7" s="6" t="n">
        <v>2</v>
      </c>
      <c r="M7" s="6" t="s">
        <v>36</v>
      </c>
      <c r="N7" s="8"/>
      <c r="O7" s="8"/>
    </row>
    <row r="8" customFormat="false" ht="53.7" hidden="false" customHeight="false" outlineLevel="0" collapsed="false">
      <c r="A8" s="6" t="n">
        <v>4</v>
      </c>
      <c r="B8" s="6" t="s">
        <v>37</v>
      </c>
      <c r="C8" s="6" t="s">
        <v>38</v>
      </c>
      <c r="D8" s="6" t="n">
        <v>2025</v>
      </c>
      <c r="E8" s="6" t="s">
        <v>39</v>
      </c>
      <c r="F8" s="6" t="s">
        <v>40</v>
      </c>
      <c r="G8" s="7" t="s">
        <v>23</v>
      </c>
      <c r="H8" s="6"/>
      <c r="I8" s="6" t="s">
        <v>24</v>
      </c>
      <c r="J8" s="6" t="s">
        <v>25</v>
      </c>
      <c r="K8" s="6" t="n">
        <v>4</v>
      </c>
      <c r="L8" s="6" t="n">
        <v>2</v>
      </c>
      <c r="M8" s="6" t="s">
        <v>41</v>
      </c>
      <c r="N8" s="8"/>
      <c r="O8" s="8"/>
    </row>
    <row r="9" customFormat="false" ht="32.8" hidden="false" customHeight="false" outlineLevel="0" collapsed="false">
      <c r="A9" s="6" t="n">
        <v>5</v>
      </c>
      <c r="B9" s="6" t="s">
        <v>42</v>
      </c>
      <c r="C9" s="6" t="s">
        <v>43</v>
      </c>
      <c r="D9" s="6" t="n">
        <v>2017</v>
      </c>
      <c r="E9" s="6" t="s">
        <v>44</v>
      </c>
      <c r="F9" s="6" t="s">
        <v>45</v>
      </c>
      <c r="G9" s="7" t="s">
        <v>23</v>
      </c>
      <c r="H9" s="6"/>
      <c r="I9" s="6" t="s">
        <v>24</v>
      </c>
      <c r="J9" s="6" t="s">
        <v>25</v>
      </c>
      <c r="K9" s="6" t="n">
        <v>18</v>
      </c>
      <c r="L9" s="6" t="n">
        <v>1.8</v>
      </c>
      <c r="M9" s="6" t="s">
        <v>46</v>
      </c>
      <c r="N9" s="8"/>
      <c r="O9" s="8"/>
    </row>
    <row r="10" customFormat="false" ht="22.35" hidden="false" customHeight="false" outlineLevel="0" collapsed="false">
      <c r="A10" s="6" t="n">
        <v>6</v>
      </c>
      <c r="B10" s="6" t="s">
        <v>47</v>
      </c>
      <c r="C10" s="6" t="s">
        <v>48</v>
      </c>
      <c r="D10" s="6" t="n">
        <v>2022</v>
      </c>
      <c r="E10" s="6" t="s">
        <v>49</v>
      </c>
      <c r="F10" s="6" t="s">
        <v>50</v>
      </c>
      <c r="G10" s="7" t="s">
        <v>23</v>
      </c>
      <c r="H10" s="7" t="s">
        <v>51</v>
      </c>
      <c r="I10" s="6" t="s">
        <v>52</v>
      </c>
      <c r="J10" s="6" t="s">
        <v>25</v>
      </c>
      <c r="K10" s="6" t="n">
        <v>9</v>
      </c>
      <c r="L10" s="6" t="n">
        <v>1.8</v>
      </c>
      <c r="M10" s="6" t="s">
        <v>53</v>
      </c>
      <c r="N10" s="8"/>
      <c r="O10" s="8"/>
    </row>
    <row r="11" customFormat="false" ht="22.35" hidden="false" customHeight="false" outlineLevel="0" collapsed="false">
      <c r="A11" s="6" t="n">
        <v>7</v>
      </c>
      <c r="B11" s="6" t="s">
        <v>54</v>
      </c>
      <c r="C11" s="6" t="s">
        <v>55</v>
      </c>
      <c r="D11" s="6" t="n">
        <v>2023</v>
      </c>
      <c r="E11" s="6" t="s">
        <v>56</v>
      </c>
      <c r="F11" s="6" t="s">
        <v>57</v>
      </c>
      <c r="G11" s="7" t="s">
        <v>23</v>
      </c>
      <c r="H11" s="6"/>
      <c r="I11" s="6" t="s">
        <v>24</v>
      </c>
      <c r="J11" s="6" t="s">
        <v>25</v>
      </c>
      <c r="K11" s="6" t="n">
        <v>6</v>
      </c>
      <c r="L11" s="6" t="n">
        <v>1.5</v>
      </c>
      <c r="M11" s="6" t="s">
        <v>58</v>
      </c>
      <c r="N11" s="8"/>
      <c r="O11" s="8"/>
    </row>
    <row r="12" customFormat="false" ht="32.8" hidden="false" customHeight="false" outlineLevel="0" collapsed="false">
      <c r="A12" s="6" t="n">
        <v>8</v>
      </c>
      <c r="B12" s="6" t="s">
        <v>59</v>
      </c>
      <c r="C12" s="6" t="s">
        <v>60</v>
      </c>
      <c r="D12" s="6" t="n">
        <v>2024</v>
      </c>
      <c r="E12" s="6" t="s">
        <v>61</v>
      </c>
      <c r="F12" s="6" t="s">
        <v>62</v>
      </c>
      <c r="G12" s="7" t="s">
        <v>23</v>
      </c>
      <c r="H12" s="6"/>
      <c r="I12" s="6" t="s">
        <v>24</v>
      </c>
      <c r="J12" s="6" t="s">
        <v>25</v>
      </c>
      <c r="K12" s="6" t="n">
        <v>3</v>
      </c>
      <c r="L12" s="6" t="n">
        <v>1</v>
      </c>
      <c r="M12" s="6" t="s">
        <v>63</v>
      </c>
      <c r="N12" s="8"/>
      <c r="O12" s="8"/>
    </row>
    <row r="13" customFormat="false" ht="32.8" hidden="false" customHeight="false" outlineLevel="0" collapsed="false">
      <c r="A13" s="6" t="n">
        <v>9</v>
      </c>
      <c r="B13" s="6" t="s">
        <v>64</v>
      </c>
      <c r="C13" s="6" t="s">
        <v>28</v>
      </c>
      <c r="D13" s="6" t="n">
        <v>2016</v>
      </c>
      <c r="E13" s="6" t="s">
        <v>65</v>
      </c>
      <c r="F13" s="6"/>
      <c r="G13" s="7" t="s">
        <v>66</v>
      </c>
      <c r="H13" s="6"/>
      <c r="I13" s="6" t="s">
        <v>67</v>
      </c>
      <c r="J13" s="6" t="s">
        <v>25</v>
      </c>
      <c r="K13" s="6" t="n">
        <v>11</v>
      </c>
      <c r="L13" s="6" t="n">
        <v>1</v>
      </c>
      <c r="M13" s="6" t="s">
        <v>68</v>
      </c>
      <c r="N13" s="8"/>
      <c r="O13" s="8"/>
    </row>
    <row r="14" customFormat="false" ht="32.8" hidden="false" customHeight="false" outlineLevel="0" collapsed="false">
      <c r="A14" s="6" t="n">
        <v>10</v>
      </c>
      <c r="B14" s="6" t="s">
        <v>69</v>
      </c>
      <c r="C14" s="6" t="s">
        <v>70</v>
      </c>
      <c r="D14" s="6" t="n">
        <v>2019</v>
      </c>
      <c r="E14" s="6" t="s">
        <v>71</v>
      </c>
      <c r="F14" s="6" t="s">
        <v>72</v>
      </c>
      <c r="G14" s="7" t="s">
        <v>23</v>
      </c>
      <c r="H14" s="6"/>
      <c r="I14" s="6" t="s">
        <v>24</v>
      </c>
      <c r="J14" s="6" t="s">
        <v>25</v>
      </c>
      <c r="K14" s="6" t="n">
        <v>4</v>
      </c>
      <c r="L14" s="6" t="n">
        <v>0.5</v>
      </c>
      <c r="M14" s="6" t="s">
        <v>73</v>
      </c>
      <c r="N14" s="8"/>
      <c r="O14" s="8"/>
    </row>
    <row r="15" customFormat="false" ht="32.8" hidden="false" customHeight="false" outlineLevel="0" collapsed="false">
      <c r="A15" s="6" t="n">
        <v>11</v>
      </c>
      <c r="B15" s="6" t="s">
        <v>74</v>
      </c>
      <c r="C15" s="6" t="s">
        <v>75</v>
      </c>
      <c r="D15" s="6" t="n">
        <v>2020</v>
      </c>
      <c r="E15" s="6" t="s">
        <v>76</v>
      </c>
      <c r="F15" s="6"/>
      <c r="G15" s="7" t="s">
        <v>66</v>
      </c>
      <c r="H15" s="6"/>
      <c r="I15" s="6" t="s">
        <v>67</v>
      </c>
      <c r="J15" s="6" t="s">
        <v>25</v>
      </c>
      <c r="K15" s="6" t="n">
        <v>1</v>
      </c>
      <c r="L15" s="6" t="n">
        <v>0.14</v>
      </c>
      <c r="M15" s="6" t="s">
        <v>77</v>
      </c>
      <c r="N15" s="8"/>
      <c r="O15" s="8"/>
    </row>
    <row r="16" customFormat="false" ht="22.35" hidden="false" customHeight="false" outlineLevel="0" collapsed="false">
      <c r="A16" s="6" t="n">
        <v>12</v>
      </c>
      <c r="B16" s="6" t="s">
        <v>78</v>
      </c>
      <c r="C16" s="6" t="s">
        <v>79</v>
      </c>
      <c r="D16" s="6" t="n">
        <v>2023</v>
      </c>
      <c r="E16" s="6" t="s">
        <v>80</v>
      </c>
      <c r="F16" s="6" t="s">
        <v>81</v>
      </c>
      <c r="G16" s="7" t="s">
        <v>23</v>
      </c>
      <c r="H16" s="7" t="s">
        <v>51</v>
      </c>
      <c r="I16" s="6" t="s">
        <v>52</v>
      </c>
      <c r="J16" s="6" t="s">
        <v>25</v>
      </c>
      <c r="K16" s="6" t="n">
        <v>0</v>
      </c>
      <c r="L16" s="6" t="n">
        <v>0</v>
      </c>
      <c r="M16" s="6" t="s">
        <v>82</v>
      </c>
      <c r="N16" s="8"/>
      <c r="O16" s="8"/>
    </row>
  </sheetData>
  <autoFilter ref="A4:O16"/>
  <dataValidations count="1">
    <dataValidation allowBlank="true" errorStyle="stop" operator="between" showDropDown="false" showErrorMessage="false" showInputMessage="false" sqref="N5:N16" type="list">
      <formula1>"Y,N"</formula1>
      <formula2>0</formula2>
    </dataValidation>
  </dataValidations>
  <hyperlinks>
    <hyperlink ref="G5" r:id="rId1" display="Open DOI"/>
    <hyperlink ref="G6" r:id="rId2" display="Open DOI"/>
    <hyperlink ref="G7" r:id="rId3" display="Open DOI"/>
    <hyperlink ref="G8" r:id="rId4" display="Open DOI"/>
    <hyperlink ref="G9" r:id="rId5" display="Open DOI"/>
    <hyperlink ref="G10" r:id="rId6" display="Open DOI"/>
    <hyperlink ref="H10" r:id="rId7" display="Open PDF"/>
    <hyperlink ref="G11" r:id="rId8" display="Open DOI"/>
    <hyperlink ref="G12" r:id="rId9" display="Open DOI"/>
    <hyperlink ref="G13" r:id="rId10" display="Search title"/>
    <hyperlink ref="G14" r:id="rId11" display="Open DOI"/>
    <hyperlink ref="G15" r:id="rId12" display="Search title"/>
    <hyperlink ref="G16" r:id="rId13" display="Open DOI"/>
    <hyperlink ref="H16" r:id="rId14" display="Open 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2026-10-02T14:10:21Z</dcterms:created>
  <dc:creator>openpyxl</dc:creator>
  <dc:description/>
  <dc:language>en-US</dc:language>
  <cp:lastModifiedBy/>
  <dcterms:modified xsi:type="dcterms:W3CDTF">2026-10-02T14:10:21Z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