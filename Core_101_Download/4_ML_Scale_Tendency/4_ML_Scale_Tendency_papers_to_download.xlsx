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 to download" sheetId="1" state="visible" r:id="rId3"/>
  </sheets>
  <definedNames>
    <definedName function="false" hidden="true" localSheetId="0" name="_xlnm._FilterDatabase" vbProcedure="false">'Papers to download'!$A$4:$O$19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<sst xmlns="http://schemas.openxmlformats.org/spreadsheetml/2006/main" count="144" uniqueCount="99">
  <si>
    <t xml:space="preserve">Component 4. ML - Scale Tendency — papers to download</t>
  </si>
  <si>
    <t xml:space="preserve">Total papers: 15</t>
  </si>
  <si>
    <t xml:space="preserve">Downloaded:</t>
  </si>
  <si>
    <t xml:space="preserve">Save each PDF into the PDFs folder next to this file, using the name in the "Save PDF as" column. Blue cells are yours to fill in.</t>
  </si>
  <si>
    <t xml:space="preserve">#</t>
  </si>
  <si>
    <t xml:space="preserve">Title</t>
  </si>
  <si>
    <t xml:space="preserve">Authors</t>
  </si>
  <si>
    <t xml:space="preserve">Year</t>
  </si>
  <si>
    <t xml:space="preserve">Venue</t>
  </si>
  <si>
    <t xml:space="preserve">DOI</t>
  </si>
  <si>
    <t xml:space="preserve">DOI link</t>
  </si>
  <si>
    <t xml:space="preserve">Free PDF (open access)</t>
  </si>
  <si>
    <t xml:space="preserve">How to get it</t>
  </si>
  <si>
    <t xml:space="preserve">Tag</t>
  </si>
  <si>
    <t xml:space="preserve">Citations</t>
  </si>
  <si>
    <t xml:space="preserve">Cit. velocity</t>
  </si>
  <si>
    <t xml:space="preserve">Save PDF as</t>
  </si>
  <si>
    <t xml:space="preserve">Downloaded? (Y/N)</t>
  </si>
  <si>
    <t xml:space="preserve">Notes</t>
  </si>
  <si>
    <t xml:space="preserve">Analysis of reservoir rock permeability changes due to solid precipitation during waterflooding using artificial neural network</t>
  </si>
  <si>
    <t xml:space="preserve">Khormali, A; Ahmadi, S; Aleksandrov, AN</t>
  </si>
  <si>
    <t xml:space="preserve">JOURNAL OF PETROLEUM EXPLORATION AND PRODUCTION TECHNOLOGY</t>
  </si>
  <si>
    <t xml:space="preserve">10.1007/s13202-024-01898-1</t>
  </si>
  <si>
    <t xml:space="preserve">Open DOI</t>
  </si>
  <si>
    <t xml:space="preserve">Open PDF</t>
  </si>
  <si>
    <t xml:space="preserve">Open access — click the PDF link</t>
  </si>
  <si>
    <t xml:space="preserve">R</t>
  </si>
  <si>
    <t xml:space="preserve">4-01_2025_Analysis_of_reservoir_rock_permeability.pdf</t>
  </si>
  <si>
    <t xml:space="preserve">Predicting scale deposition in oil reservoirs using machine learning optimization algorithms</t>
  </si>
  <si>
    <t xml:space="preserve">Khodabakhshi M.J.; Bijani M.</t>
  </si>
  <si>
    <t xml:space="preserve">Results in Engineering</t>
  </si>
  <si>
    <t xml:space="preserve">10.1016/j.rineng.2024.102263</t>
  </si>
  <si>
    <t xml:space="preserve">4-02_2024_Predicting_scale_deposition_in_oil.pdf</t>
  </si>
  <si>
    <t xml:space="preserve">Prediction of barite scale formation and inhibition in hydrocarbon reservoirs using AI modeling: Focus on different optimization algorithms</t>
  </si>
  <si>
    <t xml:space="preserve">Belkacem O.; Rezrazi A.; Aizi K.; Abdelouahed L.; Laidi M.; Touil A.; Cherifi L.; Hanini S.</t>
  </si>
  <si>
    <t xml:space="preserve">10.1016/j.rineng.2025.105222</t>
  </si>
  <si>
    <t xml:space="preserve">4-03_2025_Prediction_of_barite_scale_formation.pdf</t>
  </si>
  <si>
    <t xml:space="preserve">Evaluating scale deposition and scale tendency of effluent water mix with seawater for compatible injection water</t>
  </si>
  <si>
    <t xml:space="preserve">Al-Samhan M.; Alanezi K.; Al-Fadhli J.; Al-Attar F.; Mukadam S.; George J.</t>
  </si>
  <si>
    <t xml:space="preserve">Journal of Petroleum Exploration and Production Technology</t>
  </si>
  <si>
    <t xml:space="preserve">10.1007/s13202-020-00849-w</t>
  </si>
  <si>
    <t xml:space="preserve">4-04_2020_Evaluating_scale_deposition_and_scale.pdf</t>
  </si>
  <si>
    <t xml:space="preserve">Investigation of high temperature, high pressure, scaling and dissolution effects for Carbon Capture and Storage at a high CO2 content carbonate gas field offshore Malaysia</t>
  </si>
  <si>
    <t xml:space="preserve">Sazali, YA; Sazali, WML; Ibrahim, JM; Dindi, M; Graham, G; Gödeke, S</t>
  </si>
  <si>
    <t xml:space="preserve">JOURNAL OF PETROLEUM SCIENCE AND ENGINEERING</t>
  </si>
  <si>
    <t xml:space="preserve">10.1016/j.petrol.2018.11.060</t>
  </si>
  <si>
    <t xml:space="preserve">Use DOI link, then KFUPM / SDL login</t>
  </si>
  <si>
    <t xml:space="preserve">4-05_2019_Investigation_of_high_temperature_high.pdf</t>
  </si>
  <si>
    <t xml:space="preserve">Development of Artificial Neural Network Models for the Simulation of a CaCO3 Scale Formation Process in the Presence of Monoethylene Glycol (MEG) in Dynamic Tube Blocking Test Equipment</t>
  </si>
  <si>
    <t xml:space="preserve">Ferreira B.X.; Barbosa C.R.H.; Cajaiba J.; Kartnaller V.; Santos B.F.</t>
  </si>
  <si>
    <t xml:space="preserve">Energy and Fuels</t>
  </si>
  <si>
    <t xml:space="preserve">10.1021/acs.energyfuels.1c03364</t>
  </si>
  <si>
    <t xml:space="preserve">4-06_2022_Development_of_Artificial_Neural_Network.pdf</t>
  </si>
  <si>
    <t xml:space="preserve">Prediction of Scale Precipitation by Modelling its Thermodynamic Properties using Machine Learning Engineering</t>
  </si>
  <si>
    <t xml:space="preserve">Ugoyah J.C.; Ajienka J.A.; Wachikwu-Elechi V.U.; Ikiensikimama S.S.</t>
  </si>
  <si>
    <t xml:space="preserve">Society of Petroleum Engineers - SPE Nigeria Annual International Conference and Exhibition, NAIC 2022</t>
  </si>
  <si>
    <t xml:space="preserve">10.2118/212010-MS</t>
  </si>
  <si>
    <t xml:space="preserve">4-07_2022_Prediction_of_Scale_Precipitation_by.pdf</t>
  </si>
  <si>
    <t xml:space="preserve">Development of machine learning models for predicting the deposition of sulfide scales in oil production wells</t>
  </si>
  <si>
    <t xml:space="preserve">Askar M.M.; Ela M.A.E.; El-Banbi A.H.; Sayyouh M.H.M.</t>
  </si>
  <si>
    <t xml:space="preserve">Journal of King Saud University - Engineering Sciences</t>
  </si>
  <si>
    <t xml:space="preserve">10.1007/s44444-025-00045-3</t>
  </si>
  <si>
    <t xml:space="preserve">4-08_2025_Development_of_machine_learning_models.pdf</t>
  </si>
  <si>
    <t xml:space="preserve">Predicting Scale Depositions of Barium and Strontium Sulfates Using Novel Artificial Neural Network Algorithms</t>
  </si>
  <si>
    <t xml:space="preserve">Askar M.M.; El Ela M.A.; El-Banbi A.H.; Sayyouh M.H.M.</t>
  </si>
  <si>
    <t xml:space="preserve">Society of Petroleum Engineers - ADIPEC 2024</t>
  </si>
  <si>
    <t xml:space="preserve">10.2118/222123-MS</t>
  </si>
  <si>
    <t xml:space="preserve">4-09_2024_Predicting_Scale_Depositions_of_Barium.pdf</t>
  </si>
  <si>
    <t xml:space="preserve">Computational Screening of Potential Inhibitors of Desulfobacter postgatei for Pyrite Scale Prevention in Oil and Gas Wells</t>
  </si>
  <si>
    <t xml:space="preserve">Onawole A.T.; Hussein I.A.; Saad M.A.; Ahmed M.E.M.; Nimir H.</t>
  </si>
  <si>
    <t xml:space="preserve">ACS Omega</t>
  </si>
  <si>
    <t xml:space="preserve">10.1021/acsomega.0c06078</t>
  </si>
  <si>
    <t xml:space="preserve">4-10_2021_Computational_Screening_of_Potential_Inhibitors.pdf</t>
  </si>
  <si>
    <t xml:space="preserve">PHREEQC-Informed Machine Learning for Predicting Scaling Indices in Permian Basin Produced Waters</t>
  </si>
  <si>
    <t xml:space="preserve">Molina C.; Torrijos I.D.P.; Gibreel M.H.</t>
  </si>
  <si>
    <t xml:space="preserve">Society of Petroleum Engineers - SPE/AAPG/SEG Unconventional Resources Technology Conference, URTC 2025</t>
  </si>
  <si>
    <t xml:space="preserve">10.15530/urtec-2025-4265270</t>
  </si>
  <si>
    <t xml:space="preserve">4-11_2025_PHREEQCInformed_Machine_Learning_for_Predicting.pdf</t>
  </si>
  <si>
    <t xml:space="preserve">Prediction of Permeability Impairment Due to Scale Deposition in Waterflooding Using Machine Learning Algorithm</t>
  </si>
  <si>
    <t xml:space="preserve">Alayande S.B.; Alawode A.J.</t>
  </si>
  <si>
    <t xml:space="preserve">Society of Petroleum Engineers - SPE Nigeria Annual International Conference and Exhibition, NAIC 2025</t>
  </si>
  <si>
    <t xml:space="preserve">10.2118/228768-MS</t>
  </si>
  <si>
    <t xml:space="preserve">4-12_2025_Prediction_of_Permeability_Impairment_Due.pdf</t>
  </si>
  <si>
    <t xml:space="preserve">Integrated analysis approach of water and solids for root cause of injectivity decline of water injection well – A case study</t>
  </si>
  <si>
    <t xml:space="preserve">Pal O.R.; Al-Ghamdi N.S.</t>
  </si>
  <si>
    <t xml:space="preserve">Geoenergy Science and Engineering</t>
  </si>
  <si>
    <t xml:space="preserve">10.1016/j.geoen.2023.212351</t>
  </si>
  <si>
    <t xml:space="preserve">4-13_2023_Integrated_analysis_approach_of_water.pdf</t>
  </si>
  <si>
    <t xml:space="preserve">Scale Build-Up Prediction of FeS and FeCO3 in Gas Production Pipes</t>
  </si>
  <si>
    <t xml:space="preserve">Santoso, RK; Rahmawati, SD; Gadesa, A; Wahyuningrum, D</t>
  </si>
  <si>
    <t xml:space="preserve">INTERNATIONAL CONFERENCE ON ENERGY SCIENCES (ICES 2016)</t>
  </si>
  <si>
    <t xml:space="preserve">10.1088/1742-6596/877/1/012029</t>
  </si>
  <si>
    <t xml:space="preserve">4-14_2017_Scale_BuildUp_Prediction_of_FeS.pdf</t>
  </si>
  <si>
    <t xml:space="preserve">Advances in understanding the scaling potential for thermal wells: A mechanistic study</t>
  </si>
  <si>
    <t xml:space="preserve">Habibi A.; Fensky C.; Roostaei M.; Mahmoudi M.; Fattahpour V.; Zeng H.; Sadrzadeh M.</t>
  </si>
  <si>
    <t xml:space="preserve">Society of Petroleum Engineers - SPE Canada Heavy Oil Conference 2020, CHOC 2020</t>
  </si>
  <si>
    <t xml:space="preserve">Search title</t>
  </si>
  <si>
    <t xml:space="preserve">No DOI — search the title (link in DOI link column)</t>
  </si>
  <si>
    <t xml:space="preserve">4-15_2020_Advances_in_understanding_the_scaling.pdf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</si>
</sst>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573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573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07/s13202-024-01898-1" TargetMode="External"/><Relationship Id="rId2" Type="http://schemas.openxmlformats.org/officeDocument/2006/relationships/hyperlink" Target="https://doi.org/10.1007/s13202-024-01898-1" TargetMode="External"/><Relationship Id="rId3" Type="http://schemas.openxmlformats.org/officeDocument/2006/relationships/hyperlink" Target="https://doi.org/10.1016/j.rineng.2024.102263" TargetMode="External"/><Relationship Id="rId4" Type="http://schemas.openxmlformats.org/officeDocument/2006/relationships/hyperlink" Target="https://doi.org/10.1016/j.rineng.2024.102263" TargetMode="External"/><Relationship Id="rId5" Type="http://schemas.openxmlformats.org/officeDocument/2006/relationships/hyperlink" Target="https://doi.org/10.1016/j.rineng.2025.105222" TargetMode="External"/><Relationship Id="rId6" Type="http://schemas.openxmlformats.org/officeDocument/2006/relationships/hyperlink" Target="https://doi.org/10.1016/j.rineng.2025.105222" TargetMode="External"/><Relationship Id="rId7" Type="http://schemas.openxmlformats.org/officeDocument/2006/relationships/hyperlink" Target="https://doi.org/10.1007/s13202-020-00849-w" TargetMode="External"/><Relationship Id="rId8" Type="http://schemas.openxmlformats.org/officeDocument/2006/relationships/hyperlink" Target="https://link.springer.com/content/pdf/10.1007/s13202-020-00849-w.pdf" TargetMode="External"/><Relationship Id="rId9" Type="http://schemas.openxmlformats.org/officeDocument/2006/relationships/hyperlink" Target="https://doi.org/10.1016/j.petrol.2018.11.060" TargetMode="External"/><Relationship Id="rId10" Type="http://schemas.openxmlformats.org/officeDocument/2006/relationships/hyperlink" Target="https://doi.org/10.1021/acs.energyfuels.1c03364" TargetMode="External"/><Relationship Id="rId11" Type="http://schemas.openxmlformats.org/officeDocument/2006/relationships/hyperlink" Target="https://doi.org/10.2118/212010-MS" TargetMode="External"/><Relationship Id="rId12" Type="http://schemas.openxmlformats.org/officeDocument/2006/relationships/hyperlink" Target="https://doi.org/10.1007/s44444-025-00045-3" TargetMode="External"/><Relationship Id="rId13" Type="http://schemas.openxmlformats.org/officeDocument/2006/relationships/hyperlink" Target="https://link.springer.com/content/pdf/10.1007/s44444-025-00045-3.pdf" TargetMode="External"/><Relationship Id="rId14" Type="http://schemas.openxmlformats.org/officeDocument/2006/relationships/hyperlink" Target="https://doi.org/10.2118/222123-MS" TargetMode="External"/><Relationship Id="rId15" Type="http://schemas.openxmlformats.org/officeDocument/2006/relationships/hyperlink" Target="https://doi.org/10.1021/acsomega.0c06078" TargetMode="External"/><Relationship Id="rId16" Type="http://schemas.openxmlformats.org/officeDocument/2006/relationships/hyperlink" Target="https://doi.org/10.15530/urtec-2025-4265270" TargetMode="External"/><Relationship Id="rId17" Type="http://schemas.openxmlformats.org/officeDocument/2006/relationships/hyperlink" Target="https://doi.org/10.2118/228768-MS" TargetMode="External"/><Relationship Id="rId18" Type="http://schemas.openxmlformats.org/officeDocument/2006/relationships/hyperlink" Target="https://doi.org/10.1016/j.geoen.2023.212351" TargetMode="External"/><Relationship Id="rId19" Type="http://schemas.openxmlformats.org/officeDocument/2006/relationships/hyperlink" Target="https://doi.org/10.1088/1742-6596/877/1/012029" TargetMode="External"/><Relationship Id="rId20" Type="http://schemas.openxmlformats.org/officeDocument/2006/relationships/hyperlink" Target="https://iopscience.iop.org/article/10.1088/1742-6596/877/1/012029/pdf" TargetMode="External"/><Relationship Id="rId21" Type="http://schemas.openxmlformats.org/officeDocument/2006/relationships/hyperlink" Target="https://scholar.google.com/scholar?q=Advances%20in%20understanding%20the%20scaling%20potential%20for%20thermal%20wells%3A%20A%20mechanistic%20study" TargetMode="External"/><Relationship Id="rId2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6"/>
    <col collapsed="false" customWidth="true" hidden="false" outlineLevel="0" max="12" min="11" style="0" width="10"/>
    <col collapsed="false" customWidth="true" hidden="false" outlineLevel="0" max="13" min="13" style="0" width="42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2" t="s">
        <v>2</v>
      </c>
      <c r="F2" s="3" t="str">
        <f aca="false">COUNTIF(N5:N19,"Y")&amp;" of "&amp;COUNTA(B5:B19)</f>
        <v>0 of 15</v>
      </c>
    </row>
    <row r="3" customFormat="false" ht="15" hidden="false" customHeight="false" outlineLevel="0" collapsed="false">
      <c r="A3" s="4" t="s">
        <v>3</v>
      </c>
    </row>
    <row r="4" customFormat="false" ht="30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</row>
    <row r="5" customFormat="false" ht="32.8" hidden="false" customHeight="false" outlineLevel="0" collapsed="false">
      <c r="A5" s="6" t="n">
        <v>1</v>
      </c>
      <c r="B5" s="6" t="s">
        <v>19</v>
      </c>
      <c r="C5" s="6" t="s">
        <v>20</v>
      </c>
      <c r="D5" s="6" t="n">
        <v>2025</v>
      </c>
      <c r="E5" s="6" t="s">
        <v>21</v>
      </c>
      <c r="F5" s="6" t="s">
        <v>22</v>
      </c>
      <c r="G5" s="7" t="s">
        <v>23</v>
      </c>
      <c r="H5" s="7" t="s">
        <v>24</v>
      </c>
      <c r="I5" s="6" t="s">
        <v>25</v>
      </c>
      <c r="J5" s="6" t="s">
        <v>26</v>
      </c>
      <c r="K5" s="6" t="n">
        <v>43</v>
      </c>
      <c r="L5" s="6" t="n">
        <v>21.5</v>
      </c>
      <c r="M5" s="6" t="s">
        <v>27</v>
      </c>
      <c r="N5" s="8"/>
      <c r="O5" s="8"/>
    </row>
    <row r="6" customFormat="false" ht="22.35" hidden="false" customHeight="false" outlineLevel="0" collapsed="false">
      <c r="A6" s="6" t="n">
        <v>2</v>
      </c>
      <c r="B6" s="6" t="s">
        <v>28</v>
      </c>
      <c r="C6" s="6" t="s">
        <v>29</v>
      </c>
      <c r="D6" s="6" t="n">
        <v>2024</v>
      </c>
      <c r="E6" s="6" t="s">
        <v>30</v>
      </c>
      <c r="F6" s="6" t="s">
        <v>31</v>
      </c>
      <c r="G6" s="7" t="s">
        <v>23</v>
      </c>
      <c r="H6" s="7" t="s">
        <v>24</v>
      </c>
      <c r="I6" s="6" t="s">
        <v>25</v>
      </c>
      <c r="J6" s="6" t="s">
        <v>26</v>
      </c>
      <c r="K6" s="6" t="n">
        <v>31</v>
      </c>
      <c r="L6" s="6" t="n">
        <v>10.33</v>
      </c>
      <c r="M6" s="6" t="s">
        <v>32</v>
      </c>
      <c r="N6" s="8"/>
      <c r="O6" s="8"/>
    </row>
    <row r="7" customFormat="false" ht="22.35" hidden="false" customHeight="false" outlineLevel="0" collapsed="false">
      <c r="A7" s="6" t="n">
        <v>3</v>
      </c>
      <c r="B7" s="6" t="s">
        <v>33</v>
      </c>
      <c r="C7" s="6" t="s">
        <v>34</v>
      </c>
      <c r="D7" s="6" t="n">
        <v>2025</v>
      </c>
      <c r="E7" s="6" t="s">
        <v>30</v>
      </c>
      <c r="F7" s="6" t="s">
        <v>35</v>
      </c>
      <c r="G7" s="7" t="s">
        <v>23</v>
      </c>
      <c r="H7" s="7" t="s">
        <v>24</v>
      </c>
      <c r="I7" s="6" t="s">
        <v>25</v>
      </c>
      <c r="J7" s="6" t="s">
        <v>26</v>
      </c>
      <c r="K7" s="6" t="n">
        <v>7</v>
      </c>
      <c r="L7" s="6" t="n">
        <v>3.5</v>
      </c>
      <c r="M7" s="6" t="s">
        <v>36</v>
      </c>
      <c r="N7" s="8"/>
      <c r="O7" s="8"/>
    </row>
    <row r="8" customFormat="false" ht="22.35" hidden="false" customHeight="false" outlineLevel="0" collapsed="false">
      <c r="A8" s="6" t="n">
        <v>4</v>
      </c>
      <c r="B8" s="6" t="s">
        <v>37</v>
      </c>
      <c r="C8" s="6" t="s">
        <v>38</v>
      </c>
      <c r="D8" s="6" t="n">
        <v>2020</v>
      </c>
      <c r="E8" s="6" t="s">
        <v>39</v>
      </c>
      <c r="F8" s="6" t="s">
        <v>40</v>
      </c>
      <c r="G8" s="7" t="s">
        <v>23</v>
      </c>
      <c r="H8" s="7" t="s">
        <v>24</v>
      </c>
      <c r="I8" s="6" t="s">
        <v>25</v>
      </c>
      <c r="J8" s="6" t="s">
        <v>26</v>
      </c>
      <c r="K8" s="6" t="n">
        <v>18</v>
      </c>
      <c r="L8" s="6" t="n">
        <v>2.57</v>
      </c>
      <c r="M8" s="6" t="s">
        <v>41</v>
      </c>
      <c r="N8" s="8"/>
      <c r="O8" s="8"/>
    </row>
    <row r="9" customFormat="false" ht="32.8" hidden="false" customHeight="false" outlineLevel="0" collapsed="false">
      <c r="A9" s="6" t="n">
        <v>5</v>
      </c>
      <c r="B9" s="6" t="s">
        <v>42</v>
      </c>
      <c r="C9" s="6" t="s">
        <v>43</v>
      </c>
      <c r="D9" s="6" t="n">
        <v>2019</v>
      </c>
      <c r="E9" s="6" t="s">
        <v>44</v>
      </c>
      <c r="F9" s="6" t="s">
        <v>45</v>
      </c>
      <c r="G9" s="7" t="s">
        <v>23</v>
      </c>
      <c r="H9" s="6"/>
      <c r="I9" s="6" t="s">
        <v>46</v>
      </c>
      <c r="J9" s="6" t="s">
        <v>26</v>
      </c>
      <c r="K9" s="6" t="n">
        <v>17</v>
      </c>
      <c r="L9" s="6" t="n">
        <v>2.12</v>
      </c>
      <c r="M9" s="6" t="s">
        <v>47</v>
      </c>
      <c r="N9" s="8"/>
      <c r="O9" s="8"/>
    </row>
    <row r="10" customFormat="false" ht="32.8" hidden="false" customHeight="false" outlineLevel="0" collapsed="false">
      <c r="A10" s="6" t="n">
        <v>6</v>
      </c>
      <c r="B10" s="6" t="s">
        <v>48</v>
      </c>
      <c r="C10" s="6" t="s">
        <v>49</v>
      </c>
      <c r="D10" s="6" t="n">
        <v>2022</v>
      </c>
      <c r="E10" s="6" t="s">
        <v>50</v>
      </c>
      <c r="F10" s="6" t="s">
        <v>51</v>
      </c>
      <c r="G10" s="7" t="s">
        <v>23</v>
      </c>
      <c r="H10" s="6"/>
      <c r="I10" s="6" t="s">
        <v>46</v>
      </c>
      <c r="J10" s="6" t="s">
        <v>26</v>
      </c>
      <c r="K10" s="6" t="n">
        <v>8</v>
      </c>
      <c r="L10" s="6" t="n">
        <v>1.6</v>
      </c>
      <c r="M10" s="6" t="s">
        <v>52</v>
      </c>
      <c r="N10" s="8"/>
      <c r="O10" s="8"/>
    </row>
    <row r="11" customFormat="false" ht="32.8" hidden="false" customHeight="false" outlineLevel="0" collapsed="false">
      <c r="A11" s="6" t="n">
        <v>7</v>
      </c>
      <c r="B11" s="6" t="s">
        <v>53</v>
      </c>
      <c r="C11" s="6" t="s">
        <v>54</v>
      </c>
      <c r="D11" s="6" t="n">
        <v>2022</v>
      </c>
      <c r="E11" s="6" t="s">
        <v>55</v>
      </c>
      <c r="F11" s="6" t="s">
        <v>56</v>
      </c>
      <c r="G11" s="7" t="s">
        <v>23</v>
      </c>
      <c r="H11" s="6"/>
      <c r="I11" s="6" t="s">
        <v>46</v>
      </c>
      <c r="J11" s="6" t="s">
        <v>26</v>
      </c>
      <c r="K11" s="6" t="n">
        <v>8</v>
      </c>
      <c r="L11" s="6" t="n">
        <v>1.6</v>
      </c>
      <c r="M11" s="6" t="s">
        <v>57</v>
      </c>
      <c r="N11" s="8"/>
      <c r="O11" s="8"/>
    </row>
    <row r="12" customFormat="false" ht="32.8" hidden="false" customHeight="false" outlineLevel="0" collapsed="false">
      <c r="A12" s="6" t="n">
        <v>8</v>
      </c>
      <c r="B12" s="6" t="s">
        <v>58</v>
      </c>
      <c r="C12" s="6" t="s">
        <v>59</v>
      </c>
      <c r="D12" s="6" t="n">
        <v>2025</v>
      </c>
      <c r="E12" s="6" t="s">
        <v>60</v>
      </c>
      <c r="F12" s="6" t="s">
        <v>61</v>
      </c>
      <c r="G12" s="7" t="s">
        <v>23</v>
      </c>
      <c r="H12" s="7" t="s">
        <v>24</v>
      </c>
      <c r="I12" s="6" t="s">
        <v>25</v>
      </c>
      <c r="J12" s="6" t="s">
        <v>26</v>
      </c>
      <c r="K12" s="6" t="n">
        <v>2</v>
      </c>
      <c r="L12" s="6" t="n">
        <v>1</v>
      </c>
      <c r="M12" s="6" t="s">
        <v>62</v>
      </c>
      <c r="N12" s="8"/>
      <c r="O12" s="8"/>
    </row>
    <row r="13" customFormat="false" ht="22.35" hidden="false" customHeight="false" outlineLevel="0" collapsed="false">
      <c r="A13" s="6" t="n">
        <v>9</v>
      </c>
      <c r="B13" s="6" t="s">
        <v>63</v>
      </c>
      <c r="C13" s="6" t="s">
        <v>64</v>
      </c>
      <c r="D13" s="6" t="n">
        <v>2024</v>
      </c>
      <c r="E13" s="6" t="s">
        <v>65</v>
      </c>
      <c r="F13" s="6" t="s">
        <v>66</v>
      </c>
      <c r="G13" s="7" t="s">
        <v>23</v>
      </c>
      <c r="H13" s="6"/>
      <c r="I13" s="6" t="s">
        <v>46</v>
      </c>
      <c r="J13" s="6" t="s">
        <v>26</v>
      </c>
      <c r="K13" s="6" t="n">
        <v>3</v>
      </c>
      <c r="L13" s="6" t="n">
        <v>1</v>
      </c>
      <c r="M13" s="6" t="s">
        <v>67</v>
      </c>
      <c r="N13" s="8"/>
      <c r="O13" s="8"/>
    </row>
    <row r="14" customFormat="false" ht="32.8" hidden="false" customHeight="false" outlineLevel="0" collapsed="false">
      <c r="A14" s="6" t="n">
        <v>10</v>
      </c>
      <c r="B14" s="6" t="s">
        <v>68</v>
      </c>
      <c r="C14" s="6" t="s">
        <v>69</v>
      </c>
      <c r="D14" s="6" t="n">
        <v>2021</v>
      </c>
      <c r="E14" s="6" t="s">
        <v>70</v>
      </c>
      <c r="F14" s="6" t="s">
        <v>71</v>
      </c>
      <c r="G14" s="7" t="s">
        <v>23</v>
      </c>
      <c r="H14" s="6"/>
      <c r="I14" s="6" t="s">
        <v>46</v>
      </c>
      <c r="J14" s="6" t="s">
        <v>26</v>
      </c>
      <c r="K14" s="6" t="n">
        <v>6</v>
      </c>
      <c r="L14" s="6" t="n">
        <v>1</v>
      </c>
      <c r="M14" s="6" t="s">
        <v>72</v>
      </c>
      <c r="N14" s="8"/>
      <c r="O14" s="8"/>
    </row>
    <row r="15" customFormat="false" ht="43.25" hidden="false" customHeight="false" outlineLevel="0" collapsed="false">
      <c r="A15" s="6" t="n">
        <v>11</v>
      </c>
      <c r="B15" s="6" t="s">
        <v>73</v>
      </c>
      <c r="C15" s="6" t="s">
        <v>74</v>
      </c>
      <c r="D15" s="6" t="n">
        <v>2025</v>
      </c>
      <c r="E15" s="6" t="s">
        <v>75</v>
      </c>
      <c r="F15" s="6" t="s">
        <v>76</v>
      </c>
      <c r="G15" s="7" t="s">
        <v>23</v>
      </c>
      <c r="H15" s="6"/>
      <c r="I15" s="6" t="s">
        <v>46</v>
      </c>
      <c r="J15" s="6" t="s">
        <v>26</v>
      </c>
      <c r="K15" s="6" t="n">
        <v>1</v>
      </c>
      <c r="L15" s="6" t="n">
        <v>0.5</v>
      </c>
      <c r="M15" s="6" t="s">
        <v>77</v>
      </c>
      <c r="N15" s="8"/>
      <c r="O15" s="8"/>
    </row>
    <row r="16" customFormat="false" ht="32.8" hidden="false" customHeight="false" outlineLevel="0" collapsed="false">
      <c r="A16" s="6" t="n">
        <v>12</v>
      </c>
      <c r="B16" s="6" t="s">
        <v>78</v>
      </c>
      <c r="C16" s="6" t="s">
        <v>79</v>
      </c>
      <c r="D16" s="6" t="n">
        <v>2025</v>
      </c>
      <c r="E16" s="6" t="s">
        <v>80</v>
      </c>
      <c r="F16" s="6" t="s">
        <v>81</v>
      </c>
      <c r="G16" s="7" t="s">
        <v>23</v>
      </c>
      <c r="H16" s="6"/>
      <c r="I16" s="6" t="s">
        <v>46</v>
      </c>
      <c r="J16" s="6" t="s">
        <v>26</v>
      </c>
      <c r="K16" s="6" t="n">
        <v>1</v>
      </c>
      <c r="L16" s="6" t="n">
        <v>0.5</v>
      </c>
      <c r="M16" s="6" t="s">
        <v>82</v>
      </c>
      <c r="N16" s="8"/>
      <c r="O16" s="8"/>
    </row>
    <row r="17" customFormat="false" ht="22.35" hidden="false" customHeight="false" outlineLevel="0" collapsed="false">
      <c r="A17" s="6" t="n">
        <v>13</v>
      </c>
      <c r="B17" s="6" t="s">
        <v>83</v>
      </c>
      <c r="C17" s="6" t="s">
        <v>84</v>
      </c>
      <c r="D17" s="6" t="n">
        <v>2023</v>
      </c>
      <c r="E17" s="6" t="s">
        <v>85</v>
      </c>
      <c r="F17" s="6" t="s">
        <v>86</v>
      </c>
      <c r="G17" s="7" t="s">
        <v>23</v>
      </c>
      <c r="H17" s="6"/>
      <c r="I17" s="6" t="s">
        <v>46</v>
      </c>
      <c r="J17" s="6" t="s">
        <v>26</v>
      </c>
      <c r="K17" s="6" t="n">
        <v>2</v>
      </c>
      <c r="L17" s="6" t="n">
        <v>0.5</v>
      </c>
      <c r="M17" s="6" t="s">
        <v>87</v>
      </c>
      <c r="N17" s="8"/>
      <c r="O17" s="8"/>
    </row>
    <row r="18" customFormat="false" ht="22.35" hidden="false" customHeight="false" outlineLevel="0" collapsed="false">
      <c r="A18" s="6" t="n">
        <v>14</v>
      </c>
      <c r="B18" s="6" t="s">
        <v>88</v>
      </c>
      <c r="C18" s="6" t="s">
        <v>89</v>
      </c>
      <c r="D18" s="6" t="n">
        <v>2017</v>
      </c>
      <c r="E18" s="6" t="s">
        <v>90</v>
      </c>
      <c r="F18" s="6" t="s">
        <v>91</v>
      </c>
      <c r="G18" s="7" t="s">
        <v>23</v>
      </c>
      <c r="H18" s="7" t="s">
        <v>24</v>
      </c>
      <c r="I18" s="6" t="s">
        <v>25</v>
      </c>
      <c r="J18" s="6" t="s">
        <v>26</v>
      </c>
      <c r="K18" s="6" t="n">
        <v>3</v>
      </c>
      <c r="L18" s="6" t="n">
        <v>0.3</v>
      </c>
      <c r="M18" s="6" t="s">
        <v>92</v>
      </c>
      <c r="N18" s="8"/>
      <c r="O18" s="8"/>
    </row>
    <row r="19" customFormat="false" ht="32.8" hidden="false" customHeight="false" outlineLevel="0" collapsed="false">
      <c r="A19" s="6" t="n">
        <v>15</v>
      </c>
      <c r="B19" s="6" t="s">
        <v>93</v>
      </c>
      <c r="C19" s="6" t="s">
        <v>94</v>
      </c>
      <c r="D19" s="6" t="n">
        <v>2020</v>
      </c>
      <c r="E19" s="6" t="s">
        <v>95</v>
      </c>
      <c r="F19" s="6"/>
      <c r="G19" s="7" t="s">
        <v>96</v>
      </c>
      <c r="H19" s="6"/>
      <c r="I19" s="6" t="s">
        <v>97</v>
      </c>
      <c r="J19" s="6" t="s">
        <v>26</v>
      </c>
      <c r="K19" s="6" t="n">
        <v>2</v>
      </c>
      <c r="L19" s="6" t="n">
        <v>0.29</v>
      </c>
      <c r="M19" s="6" t="s">
        <v>98</v>
      </c>
      <c r="N19" s="8"/>
      <c r="O19" s="8"/>
    </row>
  </sheetData>
  <autoFilter ref="A4:O19"/>
  <dataValidations count="1">
    <dataValidation allowBlank="true" errorStyle="stop" operator="between" showDropDown="false" showErrorMessage="false" showInputMessage="false" sqref="N5:N19" type="list">
      <formula1>"Y,N"</formula1>
      <formula2>0</formula2>
    </dataValidation>
  </dataValidations>
  <hyperlinks>
    <hyperlink ref="G5" r:id="rId1" display="Open DOI"/>
    <hyperlink ref="H5" r:id="rId2" display="Open PDF"/>
    <hyperlink ref="G6" r:id="rId3" display="Open DOI"/>
    <hyperlink ref="H6" r:id="rId4" display="Open PDF"/>
    <hyperlink ref="G7" r:id="rId5" display="Open DOI"/>
    <hyperlink ref="H7" r:id="rId6" display="Open PDF"/>
    <hyperlink ref="G8" r:id="rId7" display="Open DOI"/>
    <hyperlink ref="H8" r:id="rId8" display="Open PDF"/>
    <hyperlink ref="G9" r:id="rId9" display="Open DOI"/>
    <hyperlink ref="G10" r:id="rId10" display="Open DOI"/>
    <hyperlink ref="G11" r:id="rId11" display="Open DOI"/>
    <hyperlink ref="G12" r:id="rId12" display="Open DOI"/>
    <hyperlink ref="H12" r:id="rId13" display="Open PDF"/>
    <hyperlink ref="G13" r:id="rId14" display="Open DOI"/>
    <hyperlink ref="G14" r:id="rId15" display="Open DOI"/>
    <hyperlink ref="G15" r:id="rId16" display="Open DOI"/>
    <hyperlink ref="G16" r:id="rId17" display="Open DOI"/>
    <hyperlink ref="G17" r:id="rId18" display="Open DOI"/>
    <hyperlink ref="G18" r:id="rId19" display="Open DOI"/>
    <hyperlink ref="H18" r:id="rId20" display="Open PDF"/>
    <hyperlink ref="G19" r:id="rId21" display="Search tit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2026-10-02T14:10:21Z</dcterms:created>
  <dc:creator>openpyxl</dc:creator>
  <dc:description/>
  <dc:language>en-US</dc:language>
  <cp:lastModifiedBy/>
  <dcterms:modified xsi:type="dcterms:W3CDTF">2026-10-02T14:10:21Z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